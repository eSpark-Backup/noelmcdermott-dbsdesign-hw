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noelmcdermott-dbsdesign-hw\Design-Files\DBS-Stepper-Module\BOM\"/>
    </mc:Choice>
  </mc:AlternateContent>
  <bookViews>
    <workbookView xWindow="28680" yWindow="-120" windowWidth="29040" windowHeight="15840"/>
  </bookViews>
  <sheets>
    <sheet name="BOM" sheetId="1" r:id="rId1"/>
  </sheets>
  <calcPr calcId="152511"/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 l="1"/>
  <c r="B76" i="1"/>
  <c r="B77" i="1" l="1"/>
  <c r="B75" i="1" l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 l="1"/>
  <c r="B8" i="1"/>
</calcChain>
</file>

<file path=xl/sharedStrings.xml><?xml version="1.0" encoding="utf-8"?>
<sst xmlns="http://schemas.openxmlformats.org/spreadsheetml/2006/main" count="626" uniqueCount="418">
  <si>
    <t>Component list</t>
  </si>
  <si>
    <t>Project:</t>
  </si>
  <si>
    <t>#</t>
  </si>
  <si>
    <t>Item Type</t>
  </si>
  <si>
    <t>Capacitor</t>
  </si>
  <si>
    <t>Capacitors</t>
  </si>
  <si>
    <t>(TVS/ESD)</t>
  </si>
  <si>
    <t>Diode</t>
  </si>
  <si>
    <t>C693487</t>
  </si>
  <si>
    <t>Connector</t>
  </si>
  <si>
    <t>Terminal Block</t>
  </si>
  <si>
    <t>Male Header</t>
  </si>
  <si>
    <t>R/A Male Header</t>
  </si>
  <si>
    <t>Relay</t>
  </si>
  <si>
    <t>Inductor</t>
  </si>
  <si>
    <t>LED</t>
  </si>
  <si>
    <t>Buzzers</t>
  </si>
  <si>
    <t>Test Point</t>
  </si>
  <si>
    <t>Mosfet</t>
  </si>
  <si>
    <t>Resistor</t>
  </si>
  <si>
    <t>Resistor Current Sense</t>
  </si>
  <si>
    <t>Switch</t>
  </si>
  <si>
    <t>Rotary Encoder</t>
  </si>
  <si>
    <t>Slide Switch</t>
  </si>
  <si>
    <t>Tactile Switch</t>
  </si>
  <si>
    <t>IC</t>
  </si>
  <si>
    <t>Module</t>
  </si>
  <si>
    <t>MOSFET</t>
  </si>
  <si>
    <t>OpAmp</t>
  </si>
  <si>
    <t>Designator</t>
  </si>
  <si>
    <t>C1, C14, C16, C17, C18, C21, C22, C37, C39, C40, C41, C42, C43, C44, C45, C46, C47, C48, C49, C50</t>
  </si>
  <si>
    <t>C2, C3</t>
  </si>
  <si>
    <t>C4</t>
  </si>
  <si>
    <t>C5, C6, C7</t>
  </si>
  <si>
    <t>C8</t>
  </si>
  <si>
    <t>C9, C10, C15</t>
  </si>
  <si>
    <t>C11</t>
  </si>
  <si>
    <t>C12</t>
  </si>
  <si>
    <t>C13, C38</t>
  </si>
  <si>
    <t>C19, C20</t>
  </si>
  <si>
    <t>C23, C24</t>
  </si>
  <si>
    <t>C25</t>
  </si>
  <si>
    <t>C26, C27, C29, C30</t>
  </si>
  <si>
    <t>C28, C31, C32, C33</t>
  </si>
  <si>
    <t>C34, C35</t>
  </si>
  <si>
    <t>C36</t>
  </si>
  <si>
    <t>D1</t>
  </si>
  <si>
    <t>D2</t>
  </si>
  <si>
    <t>D3</t>
  </si>
  <si>
    <t>D4</t>
  </si>
  <si>
    <t>D5, D6</t>
  </si>
  <si>
    <t>J1</t>
  </si>
  <si>
    <t>J2</t>
  </si>
  <si>
    <t>J3, J8</t>
  </si>
  <si>
    <t>J4</t>
  </si>
  <si>
    <t>J5</t>
  </si>
  <si>
    <t>J6</t>
  </si>
  <si>
    <t>J7</t>
  </si>
  <si>
    <t>J9</t>
  </si>
  <si>
    <t>J10</t>
  </si>
  <si>
    <t>K1</t>
  </si>
  <si>
    <t>L1</t>
  </si>
  <si>
    <t>LED1, LED6</t>
  </si>
  <si>
    <t>LED2, LED4</t>
  </si>
  <si>
    <t>LED3, LED5</t>
  </si>
  <si>
    <t>LS1</t>
  </si>
  <si>
    <t>P1, P2, P3, P4</t>
  </si>
  <si>
    <t>Q1, Q2</t>
  </si>
  <si>
    <t>R1</t>
  </si>
  <si>
    <t>R2</t>
  </si>
  <si>
    <t>R3</t>
  </si>
  <si>
    <t>R4, R25, R27, R28, R29, R30, R31, R37, R40, R41, R46, R47</t>
  </si>
  <si>
    <t>R5, R6</t>
  </si>
  <si>
    <t>R7, R8, R9, R10, R13, R14, R15, R16</t>
  </si>
  <si>
    <t>R11, R12</t>
  </si>
  <si>
    <t>R17, R18, R22, R23</t>
  </si>
  <si>
    <t>R19</t>
  </si>
  <si>
    <t>R20, R21</t>
  </si>
  <si>
    <t>R24, R26</t>
  </si>
  <si>
    <t>R32, R33, R35, R36</t>
  </si>
  <si>
    <t>R34</t>
  </si>
  <si>
    <t>R38, R42, R44</t>
  </si>
  <si>
    <t>R39, R43</t>
  </si>
  <si>
    <t>R45</t>
  </si>
  <si>
    <t>SW1, SW2</t>
  </si>
  <si>
    <t>SW3</t>
  </si>
  <si>
    <t>SW4</t>
  </si>
  <si>
    <t>SW5</t>
  </si>
  <si>
    <t>SW6</t>
  </si>
  <si>
    <t>U1</t>
  </si>
  <si>
    <t>U2</t>
  </si>
  <si>
    <t>U3</t>
  </si>
  <si>
    <t>U4</t>
  </si>
  <si>
    <t>U5, U6, U7, U8</t>
  </si>
  <si>
    <t>U9</t>
  </si>
  <si>
    <t>U10</t>
  </si>
  <si>
    <t>U11</t>
  </si>
  <si>
    <t>U12, U13</t>
  </si>
  <si>
    <t>Description</t>
  </si>
  <si>
    <t>CAP CER 0.1UF 50V X5R 0603</t>
  </si>
  <si>
    <t>CAP CER 10UF 50V X5R 1206</t>
  </si>
  <si>
    <t>CAP CER 390PF 50V C0G 0402</t>
  </si>
  <si>
    <t>CAP CER 47UF 25V X5R 1206</t>
  </si>
  <si>
    <t>CAP CER 0.047UF 50V X7R 0402</t>
  </si>
  <si>
    <t>CAP CER 1UF 50V X5R 0603</t>
  </si>
  <si>
    <t>CAP CER 4.7UF 16V X5R 0603</t>
  </si>
  <si>
    <t>47uF 50V 66mA@120Hz ±20% SMD,D6.3xL7.7mm Aluminum Electrolytic Capacitors - SMD ROHS</t>
  </si>
  <si>
    <t>CAP CER 22UF 10V X5R 0603</t>
  </si>
  <si>
    <t>100uF 50V ±20% SMD,D6.3xL7.7mm Aluminum Electrolytic Capacitors - SMD ROHS</t>
  </si>
  <si>
    <t>CAP CER 0.47 uF, 50 V, ± 10%, X7R, 0603 [1608 Metric]</t>
  </si>
  <si>
    <t>CAP CER 0.022UF 50V X7R 0603</t>
  </si>
  <si>
    <t>CAP CER 0.22 uF, 50 V, ± 10%, X7R, 0603 [1608 Metric]</t>
  </si>
  <si>
    <t>CAP CER 1nF 100V X7R 0603</t>
  </si>
  <si>
    <t>CAP CER 2.2UF 25V X5R 0603</t>
  </si>
  <si>
    <t>CAP CER 0.47UF 50V X5R 0603</t>
  </si>
  <si>
    <t>DIODE SCHOTTKY 60V 5A SMA</t>
  </si>
  <si>
    <t>20.1A 19.9V 13.3V 12V SMA(DO-214AC) Electrostatic and Surge Protection (TVS/ESD) ROHS</t>
  </si>
  <si>
    <t>DIODE SCHOTTKY 40V 5A SMC</t>
  </si>
  <si>
    <t>TVS DIODE 5VWM 9.2VC SMA</t>
  </si>
  <si>
    <t>DIODE GEN PURP 100V 300MA SOD123</t>
  </si>
  <si>
    <t>1x6P SH 1 1mm 6 SMD,P=1mm Wire To Board / Wire To Wire Connector ROHS</t>
  </si>
  <si>
    <t>1x3P 18A -40℃~+105℃ 250V Black 12~30 Straight pin 5.08mm 2.5 1 3 Plugin,P=5.08mm Screw terminal ROHS</t>
  </si>
  <si>
    <t>Gold 250V 3A Straight Square Pins 2.5mm 4P 260℃ 6mm -40℃~+105℃ 3mm 2.54mm Plugin Black Brass 1x4P Plugin,P=2.54mm Pin Headers ROHS</t>
  </si>
  <si>
    <t>Right-Angle Square Pins 2.5mm 6P 6mm -40℃~+105℃ 2.54mm 双排 Black Brass 2x3P 2.54mm Push-Pull,P=2.54mm Pin Headers ROHS</t>
  </si>
  <si>
    <t>1.5 5mm 14~24 1x1P -40℃~+105℃ 10A 1P 300V Green 1 1 Plugin,P=5mm Spring Clamp System Terminal Block ROHS</t>
  </si>
  <si>
    <t>1x2P 18A -40℃~+105℃ 250V Green 12~30 Straight 5.08mm 2.5 1 2 Plugin,P=5.08mm Screw terminal ROHS</t>
  </si>
  <si>
    <t>DC Power Receptacle Jack 2.5A 2.5mm 6.5mm SMD Power Connectors RoHS</t>
  </si>
  <si>
    <t>1x2P 20A -40℃~+105℃ 300V Gray 12~30 Straight 5.08mm 1~2.5 1 2 Plugin,P=5.08mm Screw terminal ROHS</t>
  </si>
  <si>
    <t>Right-Angle Square Pins 2.5mm 3P 6mm -40℃~+105℃ 2.54mm Plugin Black Brass 1x3P Push-Pull,P=2.54mm Pin Headers ROHS</t>
  </si>
  <si>
    <t>12V SPDT (1 Form C) Plugin,15.2x19mm Power Relays ROHS</t>
  </si>
  <si>
    <t>5.5A 5.6uH Molding Choke ±20% 6.5A SMD,6.6x7mm Power Inductors ROHS</t>
  </si>
  <si>
    <t>620nm~630nm -30℃~+85℃ Red 30° 200mW Plugin,D=3mm Light Emitting Diodes (LED) ROHS</t>
  </si>
  <si>
    <t>515nm~525nm -30℃~+85℃ Emerald 30° 200mW Plugin,D=3mm Light Emitting Diodes (LED) ROHS</t>
  </si>
  <si>
    <t>20mA -40℃~+80℃ 605nm Amber Color 50° 3mm圆形灯头 75mW Plugin,D=3mm Light Emitting Diodes (LED) ROHS</t>
  </si>
  <si>
    <t>80dB Active (driven circuit included) Magnetic 2.7kHz Plugin,D=9mm Buzzers ROHS</t>
  </si>
  <si>
    <t>Test Point ON</t>
  </si>
  <si>
    <t>TRANS NPN 40V 0.6A SMD SOT23-3</t>
  </si>
  <si>
    <t>RES SMD 68K OHM 0.1% 1/10W 0603</t>
  </si>
  <si>
    <t>RES 12K OHM 1% 1/10W 0603</t>
  </si>
  <si>
    <t>RES SMD 45.3KOHM 0.1% 1/16W 0402</t>
  </si>
  <si>
    <t>RES SMD 10K Ohm 1% 1/10W 0603</t>
  </si>
  <si>
    <t>RES 4.7K OHM 1% 1/16W 0402</t>
  </si>
  <si>
    <t>RES 22 OHM 1% 1/10W 0603</t>
  </si>
  <si>
    <t>RES 47K OHM 1% 1/20W 0201</t>
  </si>
  <si>
    <t>RES SMD 47OHM 0.1W 0603</t>
  </si>
  <si>
    <t>RES 2.2 OHM 1% 1/16W 0402</t>
  </si>
  <si>
    <t>RES 0.075 OHM 1% 1W 1206</t>
  </si>
  <si>
    <t>RES 470 OHM 1% 1/10W 0603</t>
  </si>
  <si>
    <t>RES SMD 100K OHM 0.1% 1/10W 0603</t>
  </si>
  <si>
    <t>RES SMD 120 OHM 0.1% 1/10W 0603</t>
  </si>
  <si>
    <t>RES 130 OHM 1% 1/10W 0603</t>
  </si>
  <si>
    <t>RES 15 OHM 1% 1/10W 0603</t>
  </si>
  <si>
    <t>RES SMD 1.2K OHM 1% 1/10W 0603</t>
  </si>
  <si>
    <t>No NO 50mA 4.5mm 100000 260gf 12V -30℃~+85℃ 4.5mm 4.3mm Black Round Button Brick nogging SPST SMD Tactile Switches ROHS</t>
  </si>
  <si>
    <t>ROTARY ENCODER OPTICAL 25PPR</t>
  </si>
  <si>
    <t>Shrouded 5A SPDT 125V 6.3mm 13.5mm 125V 6.6mm 5A PCPin 10000 Rectangular columnar -40℃~+85℃ Black Plugin Slide Switches ROHS</t>
  </si>
  <si>
    <t>Straight 1A SPDT 8.7mm 8.6mm 24V 4.5mm Black PCPin 10000 Rectangular columnar -25℃~+70℃ Plugin Slide Switches ROHS</t>
  </si>
  <si>
    <t>No NO 50mA 100MΩ 100000 Times 12V 130gf@±30gf Brick nogging SPST SMD Tactile Switches ROHS</t>
  </si>
  <si>
    <t>IC REG BUCK ADJUSTABLE 3A 8SOPWR</t>
  </si>
  <si>
    <t>IC REG LINEAR 3.3V 1.2A SOT223</t>
  </si>
  <si>
    <t>SMD,18x25.5mm WiFi Modules ROHS</t>
  </si>
  <si>
    <t>IC MTR DRV BIPOLAR 10-50V 48TQFP</t>
  </si>
  <si>
    <t>MOSFET 2N-CH 60V 9.5A 8SOIC</t>
  </si>
  <si>
    <t>IC TRANSLTR BIDIRECTIONAL 8VSSOP</t>
  </si>
  <si>
    <t>IC TRANSLATOR UNIDIR 14TSSOP</t>
  </si>
  <si>
    <t>SOT-23-5 Precision OpAmps ROHS</t>
  </si>
  <si>
    <t>IC TRNSLTR BIDIRECTIONAL US8</t>
  </si>
  <si>
    <t>Footprint</t>
  </si>
  <si>
    <t>Cap-0603</t>
  </si>
  <si>
    <t>Cap-1206</t>
  </si>
  <si>
    <t>Cap-0402</t>
  </si>
  <si>
    <t>RVT1H470M0607</t>
  </si>
  <si>
    <t>RVT1H101M0607</t>
  </si>
  <si>
    <t>CAP-0603</t>
  </si>
  <si>
    <t>SMA</t>
  </si>
  <si>
    <t>SMA Bi Directional</t>
  </si>
  <si>
    <t>SMC</t>
  </si>
  <si>
    <t>SOD-123</t>
  </si>
  <si>
    <t>DB128L-5.08-3P-BK-S</t>
  </si>
  <si>
    <t>HDR1X4_</t>
  </si>
  <si>
    <t>HDR2X3 (R/A Male)</t>
  </si>
  <si>
    <t>KF236-5.0-1P</t>
  </si>
  <si>
    <t>DB128L-5.08-2P-GN-S</t>
  </si>
  <si>
    <t>DC-005-5A-2.5-SMT</t>
  </si>
  <si>
    <t>DB128L-5.08-2P-GY-S</t>
  </si>
  <si>
    <t>HDR1X3 (R/A Male)</t>
  </si>
  <si>
    <t>HF3FA/012-ZSTF(136)(257)</t>
  </si>
  <si>
    <t>FXL0630-5R6-M</t>
  </si>
  <si>
    <t>TH LED Red 3MM</t>
  </si>
  <si>
    <t>TH LED 3mm_</t>
  </si>
  <si>
    <t>FMB09A12-12V</t>
  </si>
  <si>
    <t>Test-point - 0.5mm</t>
  </si>
  <si>
    <t>SOT-23</t>
  </si>
  <si>
    <t>Res-0603</t>
  </si>
  <si>
    <t>Res-0402</t>
  </si>
  <si>
    <t>Res-0201</t>
  </si>
  <si>
    <t>Res-1206</t>
  </si>
  <si>
    <t>TS-1109S-C-B</t>
  </si>
  <si>
    <t>REC16B25-201-C</t>
  </si>
  <si>
    <t>SS-12D02-G040</t>
  </si>
  <si>
    <t>GT-TC074E-H080-L1</t>
  </si>
  <si>
    <t>8-SO-EP_</t>
  </si>
  <si>
    <t>SOT- 223</t>
  </si>
  <si>
    <t>41-SMD Module</t>
  </si>
  <si>
    <t>48-TQFP-EP(7x7)</t>
  </si>
  <si>
    <t>SOIC-8</t>
  </si>
  <si>
    <t>VSSOP-8(3.1x2.1)</t>
  </si>
  <si>
    <t>14-TSSOP</t>
  </si>
  <si>
    <t>SOT-23-5</t>
  </si>
  <si>
    <t>TXB0102DCUT</t>
  </si>
  <si>
    <t>Manufacturer Part Number</t>
  </si>
  <si>
    <t>CC0603KRX5R9BB104</t>
  </si>
  <si>
    <t>CC1206KKX5R9BB106</t>
  </si>
  <si>
    <t>CGA2B2C0G1H391J050BA</t>
  </si>
  <si>
    <t>GRM31CR61E476ME44L</t>
  </si>
  <si>
    <t>CC0402KRX7R9BB473</t>
  </si>
  <si>
    <t>CL10A105KB8NNNC</t>
  </si>
  <si>
    <t>CC0603KRX5R7BB475</t>
  </si>
  <si>
    <t>CC0603MRX5R6BB226</t>
  </si>
  <si>
    <t>CC0603KRX7R9BB474</t>
  </si>
  <si>
    <t>CC0603KRX7R9BB223</t>
  </si>
  <si>
    <t>CC0603KRX7R9BB224</t>
  </si>
  <si>
    <t>CL10B102KC8NNNC</t>
  </si>
  <si>
    <t>CC0603KRX5R8BB225</t>
  </si>
  <si>
    <t>CC0603KRX5R9BB474</t>
  </si>
  <si>
    <t>SS56</t>
  </si>
  <si>
    <t>SMAJ12CA</t>
  </si>
  <si>
    <t>B540C-13-F</t>
  </si>
  <si>
    <t>SMAJ5.0CA</t>
  </si>
  <si>
    <t>1N4148W-7-F</t>
  </si>
  <si>
    <t>C145963</t>
  </si>
  <si>
    <t>X6511WV-04H-C60D30</t>
  </si>
  <si>
    <t>PZ254R-12-6P</t>
  </si>
  <si>
    <t>PZ254R-11-03P</t>
  </si>
  <si>
    <t>NFD3401URD</t>
  </si>
  <si>
    <t>NFD3401UGD</t>
  </si>
  <si>
    <t>LTL17KFL5D-012A</t>
  </si>
  <si>
    <t>MMBT2222A-7-F</t>
  </si>
  <si>
    <t>RT0603BRD0768KL</t>
  </si>
  <si>
    <t>RC0603FR-0712KL</t>
  </si>
  <si>
    <t>RT0402BRD0745K3L</t>
  </si>
  <si>
    <t>RC0603FR-0710KL</t>
  </si>
  <si>
    <t>RC0402FR-074K7L</t>
  </si>
  <si>
    <t>RC0603FR-0722RL</t>
  </si>
  <si>
    <t>RC0201FR-0747KL</t>
  </si>
  <si>
    <t>RC0603FR-0747RL</t>
  </si>
  <si>
    <t>RC0402FR-072R2L</t>
  </si>
  <si>
    <t>ERJ-8BWFR075V</t>
  </si>
  <si>
    <t>RC0603FR-07470RL</t>
  </si>
  <si>
    <t>RT0603BRD07100KL</t>
  </si>
  <si>
    <t>RT0603BRB07120RL</t>
  </si>
  <si>
    <t>RC0603FR-07130RL</t>
  </si>
  <si>
    <t>RC0603FR-0715RL</t>
  </si>
  <si>
    <t>RC0603FR-071K2L</t>
  </si>
  <si>
    <t>SS-12D11G5R</t>
  </si>
  <si>
    <t>LMR16030SDDAR</t>
  </si>
  <si>
    <t>LDL1117S33R</t>
  </si>
  <si>
    <t>ESP32-S3-WROOM-1-N8R2</t>
  </si>
  <si>
    <t>TMC2160A-TA-T</t>
  </si>
  <si>
    <t>AOSD62666E</t>
  </si>
  <si>
    <t>TXS0102DCUR</t>
  </si>
  <si>
    <t>TXU0304PWR</t>
  </si>
  <si>
    <t>TP5591-TR</t>
  </si>
  <si>
    <t>Manufacturer</t>
  </si>
  <si>
    <t>Yageo</t>
  </si>
  <si>
    <t>TDK</t>
  </si>
  <si>
    <t>Murata</t>
  </si>
  <si>
    <t>Samsung</t>
  </si>
  <si>
    <t>ROQANG</t>
  </si>
  <si>
    <t>MDD</t>
  </si>
  <si>
    <t>Diodes</t>
  </si>
  <si>
    <t>FTR</t>
  </si>
  <si>
    <t>BOOMELE</t>
  </si>
  <si>
    <t>DIBO</t>
  </si>
  <si>
    <t>XKB</t>
  </si>
  <si>
    <t>XFCN</t>
  </si>
  <si>
    <t>Cixi Kefa Elec</t>
  </si>
  <si>
    <t>DORABO</t>
  </si>
  <si>
    <t>XKB Enterprise</t>
  </si>
  <si>
    <t>Hongfa</t>
  </si>
  <si>
    <t>cjiang</t>
  </si>
  <si>
    <t>Foshan NationStar Optoelectronics</t>
  </si>
  <si>
    <t>Lite-On</t>
  </si>
  <si>
    <t>FUET</t>
  </si>
  <si>
    <t>Panasonic</t>
  </si>
  <si>
    <t>XKB Connectivity</t>
  </si>
  <si>
    <t>Nidec Copal</t>
  </si>
  <si>
    <t>G-Switch</t>
  </si>
  <si>
    <t>Texas Instruments</t>
  </si>
  <si>
    <t>STMicroelectronics</t>
  </si>
  <si>
    <t>Espressif Systems</t>
  </si>
  <si>
    <t>Trinamic</t>
  </si>
  <si>
    <t>Alpha &amp; Omega Semiconductor</t>
  </si>
  <si>
    <t>3PEAK</t>
  </si>
  <si>
    <t>LCSC Part Number</t>
  </si>
  <si>
    <t>C110022</t>
  </si>
  <si>
    <t>C100122</t>
  </si>
  <si>
    <t>C403725</t>
  </si>
  <si>
    <t>C272875</t>
  </si>
  <si>
    <t>C15849</t>
  </si>
  <si>
    <t>C72523</t>
  </si>
  <si>
    <t>C3151829</t>
  </si>
  <si>
    <t>C513577</t>
  </si>
  <si>
    <t>C106222</t>
  </si>
  <si>
    <t>C107083</t>
  </si>
  <si>
    <t>C153291</t>
  </si>
  <si>
    <t>C309478</t>
  </si>
  <si>
    <t>C513651</t>
  </si>
  <si>
    <t>C110042</t>
  </si>
  <si>
    <t>C72264</t>
  </si>
  <si>
    <t>C83528</t>
  </si>
  <si>
    <t>C430602</t>
  </si>
  <si>
    <t>C706876</t>
  </si>
  <si>
    <t>C492431</t>
  </si>
  <si>
    <t>C976595</t>
  </si>
  <si>
    <t>C395868</t>
  </si>
  <si>
    <t>C319133</t>
  </si>
  <si>
    <t>C500021</t>
  </si>
  <si>
    <t>C492411</t>
  </si>
  <si>
    <t>C190455</t>
  </si>
  <si>
    <t>C475914</t>
  </si>
  <si>
    <t>C20618148</t>
  </si>
  <si>
    <t>C20618151</t>
  </si>
  <si>
    <t>C575510</t>
  </si>
  <si>
    <t>C417387</t>
  </si>
  <si>
    <t>C94515</t>
  </si>
  <si>
    <t>C114659</t>
  </si>
  <si>
    <t>C852795</t>
  </si>
  <si>
    <t>C98220</t>
  </si>
  <si>
    <t>C105871</t>
  </si>
  <si>
    <t>C107701</t>
  </si>
  <si>
    <t>C138139</t>
  </si>
  <si>
    <t>C114623</t>
  </si>
  <si>
    <t>C114669</t>
  </si>
  <si>
    <t>C122538</t>
  </si>
  <si>
    <t>C860088</t>
  </si>
  <si>
    <t>C128059</t>
  </si>
  <si>
    <t>C114605</t>
  </si>
  <si>
    <t>C381037</t>
  </si>
  <si>
    <t>C388633</t>
  </si>
  <si>
    <t>C2876023</t>
  </si>
  <si>
    <t>C963229</t>
  </si>
  <si>
    <t>C136648</t>
  </si>
  <si>
    <t>C435835</t>
  </si>
  <si>
    <t>C2913204</t>
  </si>
  <si>
    <t>C465948</t>
  </si>
  <si>
    <t>C541719</t>
  </si>
  <si>
    <t>C53434</t>
  </si>
  <si>
    <t>C4364118</t>
  </si>
  <si>
    <t>C248602</t>
  </si>
  <si>
    <t>100nF</t>
  </si>
  <si>
    <t>10uF</t>
  </si>
  <si>
    <t>390pF</t>
  </si>
  <si>
    <t>47uF</t>
  </si>
  <si>
    <t>47nF</t>
  </si>
  <si>
    <t>1uF</t>
  </si>
  <si>
    <t>4.7uF</t>
  </si>
  <si>
    <t>22uF</t>
  </si>
  <si>
    <t>100uF</t>
  </si>
  <si>
    <t>470nF</t>
  </si>
  <si>
    <t>22nF</t>
  </si>
  <si>
    <t>220nF</t>
  </si>
  <si>
    <t>1nF</t>
  </si>
  <si>
    <t>2.2uF</t>
  </si>
  <si>
    <t>0.47uF</t>
  </si>
  <si>
    <t>5.6uH</t>
  </si>
  <si>
    <t>68K</t>
  </si>
  <si>
    <t>12K</t>
  </si>
  <si>
    <t>45.3k</t>
  </si>
  <si>
    <t>10K</t>
  </si>
  <si>
    <t>4.7K</t>
  </si>
  <si>
    <t>22R</t>
  </si>
  <si>
    <t>47K</t>
  </si>
  <si>
    <t>47R</t>
  </si>
  <si>
    <t>2.2R</t>
  </si>
  <si>
    <t>75mR</t>
  </si>
  <si>
    <t>470R</t>
  </si>
  <si>
    <t>100K</t>
  </si>
  <si>
    <t>120R</t>
  </si>
  <si>
    <t>130R</t>
  </si>
  <si>
    <t>15R</t>
  </si>
  <si>
    <t>1.2K</t>
  </si>
  <si>
    <t>Quantity</t>
  </si>
  <si>
    <t>Alternate Part Number</t>
  </si>
  <si>
    <t>Remarks</t>
  </si>
  <si>
    <t>Value</t>
  </si>
  <si>
    <t>C65009</t>
  </si>
  <si>
    <t>C2677366</t>
  </si>
  <si>
    <t>C705793</t>
  </si>
  <si>
    <t>-</t>
  </si>
  <si>
    <t>DC Jack</t>
  </si>
  <si>
    <t>Bill of Materials for Project [DBS-Stepper-Module-v1.0]</t>
  </si>
  <si>
    <t>DBS-Stepper-Module-v1.0.</t>
  </si>
  <si>
    <t>CL10A475KO8NNNC</t>
  </si>
  <si>
    <t>C19666</t>
  </si>
  <si>
    <t>Custom</t>
  </si>
  <si>
    <t>CL10A226MP8NUNE</t>
  </si>
  <si>
    <t>C86295</t>
  </si>
  <si>
    <t>1.0T-6P</t>
  </si>
  <si>
    <t xml:space="preserve">DO NOT MOUNT </t>
  </si>
  <si>
    <t>CC0402JRNPO9BN391</t>
  </si>
  <si>
    <t>C282239</t>
  </si>
  <si>
    <t>AC0402FR-072R2L</t>
  </si>
  <si>
    <t>C226973</t>
  </si>
  <si>
    <t>C2932840</t>
  </si>
  <si>
    <t>HoYH1206-1W-75mR-1%</t>
  </si>
  <si>
    <t>C22796</t>
  </si>
  <si>
    <t>0603WAF1300T5E</t>
  </si>
  <si>
    <t>VSSOP-8-0.5mm</t>
  </si>
  <si>
    <t>Peripheral</t>
  </si>
  <si>
    <t>204 20X4 2004 Parallel IIC I2C PCF8574T Character LCD Module Display Screen LCM English-Japanese w/ LED Backlight for Arduino</t>
  </si>
  <si>
    <t>SLC2004A1-FPW-IIC</t>
  </si>
  <si>
    <t>Controlduino 01M21V00. Wideband lambda sensor control module for Arduino + rpm.</t>
  </si>
  <si>
    <t>01M21V00</t>
  </si>
  <si>
    <t>Controlduino</t>
  </si>
  <si>
    <t xml:space="preserve">Also Select optional parts  1# OEM : 0258017025.    2# AC/DC Power supply   </t>
  </si>
  <si>
    <t>Unit 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</si>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</sst>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:ss\ AM/PM;@"/>
    <numFmt numFmtId="165" formatCode="&quot;$&quot;#,##0.000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8" fillId="2" borderId="7" xfId="0" applyFont="1" applyFill="1" applyBorder="1" applyAlignment="1">
      <alignment horizontal="center" vertical="center" wrapText="1"/>
    </xf>
    <xf numFmtId="165" fontId="18" fillId="2" borderId="7" xfId="0" applyNumberFormat="1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 applyProtection="1">
      <alignment horizontal="center" vertical="top"/>
      <protection locked="0"/>
    </xf>
    <xf numFmtId="0" fontId="20" fillId="2" borderId="8" xfId="0" applyFont="1" applyFill="1" applyBorder="1" applyAlignment="1">
      <alignment horizontal="center" vertical="center" wrapText="1"/>
    </xf>
    <xf numFmtId="166" fontId="15" fillId="2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69"/>
  <sheetViews>
    <sheetView tabSelected="1" topLeftCell="A61" workbookViewId="0">
      <selection activeCell="G8" sqref="G8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7109375" bestFit="1" customWidth="1"/>
    <col min="14" max="14" width="26.42578125" bestFit="1" customWidth="1"/>
    <col min="15" max="15" width="16.5703125" bestFit="1" customWidth="1"/>
  </cols>
  <sheetData>
    <row r="1" spans="1:15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7"/>
      <c r="L1" s="47"/>
      <c r="M1" s="47"/>
      <c r="N1" s="47"/>
      <c r="O1" s="47"/>
    </row>
    <row r="2" spans="1:15" ht="32.25" thickBot="1" x14ac:dyDescent="0.3">
      <c r="A2" s="1"/>
      <c r="B2" s="7"/>
      <c r="C2" s="13"/>
      <c r="D2" s="4" t="s">
        <v>0</v>
      </c>
      <c r="E2" s="4"/>
      <c r="F2" s="38" t="s">
        <v>391</v>
      </c>
      <c r="G2" s="5"/>
      <c r="H2" s="3"/>
      <c r="I2" s="30"/>
      <c r="J2" s="31"/>
      <c r="K2" s="31"/>
      <c r="L2" s="31"/>
      <c r="M2" s="31"/>
      <c r="N2" s="31"/>
      <c r="O2" s="31"/>
    </row>
    <row r="3" spans="1:15" ht="16.5" thickBot="1" x14ac:dyDescent="0.3">
      <c r="A3" s="1"/>
      <c r="B3" s="8"/>
      <c r="C3" s="25"/>
      <c r="D3" s="37" t="s">
        <v>1</v>
      </c>
      <c r="E3" s="26"/>
      <c r="F3" s="39" t="s">
        <v>392</v>
      </c>
      <c r="G3" s="28"/>
      <c r="H3" s="29"/>
      <c r="I3" s="27"/>
      <c r="J3" s="23"/>
      <c r="K3" s="23"/>
      <c r="L3" s="23"/>
      <c r="M3" s="23"/>
      <c r="N3" s="23"/>
      <c r="O3" s="23"/>
    </row>
    <row r="4" spans="1:15" ht="15" customHeight="1" x14ac:dyDescent="0.25">
      <c r="A4" s="1"/>
      <c r="B4" s="8"/>
      <c r="C4" s="25"/>
      <c r="D4" s="26"/>
      <c r="E4" s="26"/>
      <c r="F4" s="24"/>
      <c r="G4" s="27"/>
      <c r="H4" s="23"/>
      <c r="I4" s="27"/>
      <c r="J4" s="23"/>
      <c r="K4" s="23"/>
      <c r="L4" s="23"/>
      <c r="M4" s="23"/>
      <c r="N4" s="23"/>
      <c r="O4" s="23"/>
    </row>
    <row r="5" spans="1:15" ht="15" customHeight="1" x14ac:dyDescent="0.25">
      <c r="A5" s="1"/>
      <c r="B5" s="9"/>
      <c r="C5" s="32"/>
      <c r="D5" s="33"/>
      <c r="E5" s="33"/>
      <c r="F5" s="24"/>
      <c r="G5" s="33"/>
      <c r="H5" s="34"/>
      <c r="I5" s="33"/>
      <c r="J5" s="34"/>
      <c r="K5" s="34"/>
      <c r="L5" s="34"/>
      <c r="M5" s="34"/>
      <c r="N5" s="34"/>
      <c r="O5" s="34"/>
    </row>
    <row r="6" spans="1:15" ht="15.75" customHeight="1" thickBot="1" x14ac:dyDescent="0.3">
      <c r="A6" s="1"/>
      <c r="B6" s="11"/>
      <c r="C6" s="35"/>
      <c r="D6" s="27"/>
      <c r="E6" s="27"/>
      <c r="F6" s="36"/>
      <c r="G6" s="33"/>
      <c r="H6" s="34"/>
      <c r="I6" s="33"/>
      <c r="J6" s="34"/>
      <c r="K6" s="34"/>
      <c r="L6" s="34"/>
      <c r="M6" s="34"/>
      <c r="N6" s="34"/>
      <c r="O6" s="34"/>
    </row>
    <row r="7" spans="1:15" ht="15.75" thickBot="1" x14ac:dyDescent="0.3">
      <c r="A7" s="1"/>
      <c r="B7" s="12" t="s">
        <v>2</v>
      </c>
      <c r="C7" s="12" t="s">
        <v>3</v>
      </c>
      <c r="D7" s="12" t="s">
        <v>29</v>
      </c>
      <c r="E7" s="12" t="s">
        <v>98</v>
      </c>
      <c r="F7" s="12" t="s">
        <v>167</v>
      </c>
      <c r="G7" s="12" t="s">
        <v>210</v>
      </c>
      <c r="H7" s="12" t="s">
        <v>263</v>
      </c>
      <c r="I7" s="12" t="s">
        <v>383</v>
      </c>
      <c r="J7" s="12" t="s">
        <v>294</v>
      </c>
      <c r="K7" s="12" t="s">
        <v>385</v>
      </c>
      <c r="L7" s="12" t="s">
        <v>382</v>
      </c>
      <c r="M7" s="12" t="s">
        <v>416</v>
      </c>
      <c r="N7" s="12" t="s">
        <v>417</v>
      </c>
      <c r="O7" s="12" t="s">
        <v>384</v>
      </c>
    </row>
    <row r="8" spans="1:15" ht="36" x14ac:dyDescent="0.25">
      <c r="A8" s="1"/>
      <c r="B8" s="16">
        <f>ROW(B8) - ROW($B$7)</f>
        <v>1</v>
      </c>
      <c r="C8" s="21" t="s">
        <v>4</v>
      </c>
      <c r="D8" s="14" t="s">
        <v>30</v>
      </c>
      <c r="E8" s="14" t="s">
        <v>99</v>
      </c>
      <c r="F8" s="14" t="s">
        <v>168</v>
      </c>
      <c r="G8" s="14" t="s">
        <v>211</v>
      </c>
      <c r="H8" s="14" t="s">
        <v>264</v>
      </c>
      <c r="I8" s="14" t="s">
        <v>389</v>
      </c>
      <c r="J8" s="14" t="s">
        <v>295</v>
      </c>
      <c r="K8" s="14" t="s">
        <v>350</v>
      </c>
      <c r="L8" s="14">
        <v>20</v>
      </c>
      <c r="M8" s="15">
        <v>7.4250000000000002E-3</v>
      </c>
      <c r="N8" s="46">
        <f>M8*L8</f>
        <v>0.14849999999999999</v>
      </c>
      <c r="O8" s="14"/>
    </row>
    <row r="9" spans="1:15" x14ac:dyDescent="0.25">
      <c r="A9" s="1"/>
      <c r="B9" s="17">
        <f t="shared" ref="B9:B77" si="0">ROW(B9) - ROW($B$7)</f>
        <v>2</v>
      </c>
      <c r="C9" s="22" t="s">
        <v>5</v>
      </c>
      <c r="D9" s="19" t="s">
        <v>31</v>
      </c>
      <c r="E9" s="19" t="s">
        <v>100</v>
      </c>
      <c r="F9" s="19" t="s">
        <v>169</v>
      </c>
      <c r="G9" s="19" t="s">
        <v>212</v>
      </c>
      <c r="H9" s="19" t="s">
        <v>264</v>
      </c>
      <c r="I9" s="19" t="s">
        <v>389</v>
      </c>
      <c r="J9" s="19" t="s">
        <v>296</v>
      </c>
      <c r="K9" s="19" t="s">
        <v>351</v>
      </c>
      <c r="L9" s="19">
        <v>2</v>
      </c>
      <c r="M9" s="20">
        <v>0.222525</v>
      </c>
      <c r="N9" s="46">
        <f t="shared" ref="N9:N72" si="1">M9*L9</f>
        <v>0.44505</v>
      </c>
      <c r="O9" s="19"/>
    </row>
    <row r="10" spans="1:15" x14ac:dyDescent="0.25">
      <c r="A10" s="1"/>
      <c r="B10" s="16">
        <f>ROW(B10) - ROW($B$7)</f>
        <v>3</v>
      </c>
      <c r="C10" s="21" t="s">
        <v>5</v>
      </c>
      <c r="D10" s="14" t="s">
        <v>32</v>
      </c>
      <c r="E10" s="14" t="s">
        <v>101</v>
      </c>
      <c r="F10" s="14" t="s">
        <v>170</v>
      </c>
      <c r="G10" s="40" t="s">
        <v>213</v>
      </c>
      <c r="H10" s="14" t="s">
        <v>265</v>
      </c>
      <c r="I10" s="14" t="s">
        <v>400</v>
      </c>
      <c r="J10" s="14" t="s">
        <v>401</v>
      </c>
      <c r="K10" s="14" t="s">
        <v>352</v>
      </c>
      <c r="L10" s="14">
        <v>1</v>
      </c>
      <c r="M10" s="15">
        <v>6.3E-3</v>
      </c>
      <c r="N10" s="46">
        <f t="shared" si="1"/>
        <v>6.3E-3</v>
      </c>
      <c r="O10" s="14"/>
    </row>
    <row r="11" spans="1:15" x14ac:dyDescent="0.25">
      <c r="A11" s="1"/>
      <c r="B11" s="17">
        <f t="shared" si="0"/>
        <v>4</v>
      </c>
      <c r="C11" s="22" t="s">
        <v>4</v>
      </c>
      <c r="D11" s="19" t="s">
        <v>33</v>
      </c>
      <c r="E11" s="19" t="s">
        <v>102</v>
      </c>
      <c r="F11" s="19" t="s">
        <v>169</v>
      </c>
      <c r="G11" s="19" t="s">
        <v>214</v>
      </c>
      <c r="H11" s="19" t="s">
        <v>266</v>
      </c>
      <c r="I11" s="19" t="s">
        <v>389</v>
      </c>
      <c r="J11" s="19" t="s">
        <v>297</v>
      </c>
      <c r="K11" s="19" t="s">
        <v>353</v>
      </c>
      <c r="L11" s="19">
        <v>3</v>
      </c>
      <c r="M11" s="20">
        <v>0.64529999999999998</v>
      </c>
      <c r="N11" s="46">
        <f t="shared" si="1"/>
        <v>1.9359</v>
      </c>
      <c r="O11" s="19"/>
    </row>
    <row r="12" spans="1:15" x14ac:dyDescent="0.25">
      <c r="A12" s="1"/>
      <c r="B12" s="16">
        <f>ROW(B12) - ROW($B$7)</f>
        <v>5</v>
      </c>
      <c r="C12" s="21" t="s">
        <v>4</v>
      </c>
      <c r="D12" s="14" t="s">
        <v>34</v>
      </c>
      <c r="E12" s="14" t="s">
        <v>103</v>
      </c>
      <c r="F12" s="14" t="s">
        <v>170</v>
      </c>
      <c r="G12" s="14" t="s">
        <v>215</v>
      </c>
      <c r="H12" s="14" t="s">
        <v>264</v>
      </c>
      <c r="I12" s="14" t="s">
        <v>389</v>
      </c>
      <c r="J12" s="14" t="s">
        <v>298</v>
      </c>
      <c r="K12" s="14" t="s">
        <v>354</v>
      </c>
      <c r="L12" s="14">
        <v>1</v>
      </c>
      <c r="M12" s="15">
        <v>4.725E-3</v>
      </c>
      <c r="N12" s="46">
        <f t="shared" si="1"/>
        <v>4.725E-3</v>
      </c>
      <c r="O12" s="14"/>
    </row>
    <row r="13" spans="1:15" x14ac:dyDescent="0.25">
      <c r="A13" s="1"/>
      <c r="B13" s="17">
        <f t="shared" si="0"/>
        <v>6</v>
      </c>
      <c r="C13" s="22" t="s">
        <v>4</v>
      </c>
      <c r="D13" s="19" t="s">
        <v>35</v>
      </c>
      <c r="E13" s="19" t="s">
        <v>104</v>
      </c>
      <c r="F13" s="19" t="s">
        <v>168</v>
      </c>
      <c r="G13" s="19" t="s">
        <v>216</v>
      </c>
      <c r="H13" s="19" t="s">
        <v>267</v>
      </c>
      <c r="I13" s="19" t="s">
        <v>389</v>
      </c>
      <c r="J13" s="19" t="s">
        <v>299</v>
      </c>
      <c r="K13" s="19" t="s">
        <v>355</v>
      </c>
      <c r="L13" s="19">
        <v>3</v>
      </c>
      <c r="M13" s="20">
        <v>1.0124999999999999E-2</v>
      </c>
      <c r="N13" s="46">
        <f t="shared" si="1"/>
        <v>3.0374999999999996E-2</v>
      </c>
      <c r="O13" s="19"/>
    </row>
    <row r="14" spans="1:15" x14ac:dyDescent="0.25">
      <c r="A14" s="1"/>
      <c r="B14" s="16">
        <f>ROW(B14) - ROW($B$7)</f>
        <v>7</v>
      </c>
      <c r="C14" s="21" t="s">
        <v>4</v>
      </c>
      <c r="D14" s="14" t="s">
        <v>36</v>
      </c>
      <c r="E14" s="14" t="s">
        <v>105</v>
      </c>
      <c r="F14" s="14" t="s">
        <v>168</v>
      </c>
      <c r="G14" s="40" t="s">
        <v>217</v>
      </c>
      <c r="H14" s="14" t="s">
        <v>264</v>
      </c>
      <c r="I14" s="14" t="s">
        <v>393</v>
      </c>
      <c r="J14" s="14" t="s">
        <v>394</v>
      </c>
      <c r="K14" s="14" t="s">
        <v>356</v>
      </c>
      <c r="L14" s="14">
        <v>1</v>
      </c>
      <c r="M14" s="15">
        <v>2.0924999999999999E-2</v>
      </c>
      <c r="N14" s="46">
        <f t="shared" si="1"/>
        <v>2.0924999999999999E-2</v>
      </c>
      <c r="O14" s="14"/>
    </row>
    <row r="15" spans="1:15" ht="36" x14ac:dyDescent="0.25">
      <c r="A15" s="1"/>
      <c r="B15" s="17">
        <f t="shared" si="0"/>
        <v>8</v>
      </c>
      <c r="C15" s="22" t="s">
        <v>4</v>
      </c>
      <c r="D15" s="19" t="s">
        <v>37</v>
      </c>
      <c r="E15" s="19" t="s">
        <v>106</v>
      </c>
      <c r="F15" s="19" t="s">
        <v>395</v>
      </c>
      <c r="G15" s="19" t="s">
        <v>171</v>
      </c>
      <c r="H15" s="19" t="s">
        <v>268</v>
      </c>
      <c r="I15" s="19" t="s">
        <v>389</v>
      </c>
      <c r="J15" s="19" t="s">
        <v>300</v>
      </c>
      <c r="K15" s="19" t="s">
        <v>353</v>
      </c>
      <c r="L15" s="19">
        <v>1</v>
      </c>
      <c r="M15" s="20">
        <v>7.4024999999999994E-2</v>
      </c>
      <c r="N15" s="46">
        <f t="shared" si="1"/>
        <v>7.4024999999999994E-2</v>
      </c>
      <c r="O15" s="19"/>
    </row>
    <row r="16" spans="1:15" x14ac:dyDescent="0.25">
      <c r="A16" s="1"/>
      <c r="B16" s="16">
        <f>ROW(B16) - ROW($B$7)</f>
        <v>9</v>
      </c>
      <c r="C16" s="22" t="s">
        <v>4</v>
      </c>
      <c r="D16" s="14" t="s">
        <v>38</v>
      </c>
      <c r="E16" s="14" t="s">
        <v>107</v>
      </c>
      <c r="F16" s="14" t="s">
        <v>168</v>
      </c>
      <c r="G16" s="40" t="s">
        <v>218</v>
      </c>
      <c r="H16" s="14" t="s">
        <v>264</v>
      </c>
      <c r="I16" s="14" t="s">
        <v>396</v>
      </c>
      <c r="J16" s="14" t="s">
        <v>397</v>
      </c>
      <c r="K16" s="14" t="s">
        <v>357</v>
      </c>
      <c r="L16" s="14">
        <v>2</v>
      </c>
      <c r="M16" s="15">
        <v>2.835E-2</v>
      </c>
      <c r="N16" s="46">
        <f t="shared" si="1"/>
        <v>5.67E-2</v>
      </c>
      <c r="O16" s="14"/>
    </row>
    <row r="17" spans="1:15" ht="36" x14ac:dyDescent="0.25">
      <c r="A17" s="1"/>
      <c r="B17" s="17">
        <f t="shared" si="0"/>
        <v>10</v>
      </c>
      <c r="C17" s="22" t="s">
        <v>4</v>
      </c>
      <c r="D17" s="19" t="s">
        <v>39</v>
      </c>
      <c r="E17" s="19" t="s">
        <v>108</v>
      </c>
      <c r="F17" s="19" t="s">
        <v>395</v>
      </c>
      <c r="G17" s="19" t="s">
        <v>172</v>
      </c>
      <c r="H17" s="19" t="s">
        <v>268</v>
      </c>
      <c r="I17" s="19" t="s">
        <v>389</v>
      </c>
      <c r="J17" s="19" t="s">
        <v>301</v>
      </c>
      <c r="K17" s="19" t="s">
        <v>358</v>
      </c>
      <c r="L17" s="19">
        <v>2</v>
      </c>
      <c r="M17" s="20">
        <v>0.12847500000000001</v>
      </c>
      <c r="N17" s="46">
        <f t="shared" si="1"/>
        <v>0.25695000000000001</v>
      </c>
      <c r="O17" s="19"/>
    </row>
    <row r="18" spans="1:15" ht="24" x14ac:dyDescent="0.25">
      <c r="A18" s="1"/>
      <c r="B18" s="16">
        <f>ROW(B18) - ROW($B$7)</f>
        <v>11</v>
      </c>
      <c r="C18" s="21" t="s">
        <v>4</v>
      </c>
      <c r="D18" s="14" t="s">
        <v>40</v>
      </c>
      <c r="E18" s="14" t="s">
        <v>109</v>
      </c>
      <c r="F18" s="14" t="s">
        <v>168</v>
      </c>
      <c r="G18" s="14" t="s">
        <v>219</v>
      </c>
      <c r="H18" s="14" t="s">
        <v>264</v>
      </c>
      <c r="I18" s="19" t="s">
        <v>389</v>
      </c>
      <c r="J18" s="14" t="s">
        <v>302</v>
      </c>
      <c r="K18" s="14" t="s">
        <v>359</v>
      </c>
      <c r="L18" s="14">
        <v>2</v>
      </c>
      <c r="M18" s="15">
        <v>2.07E-2</v>
      </c>
      <c r="N18" s="46">
        <f t="shared" si="1"/>
        <v>4.1399999999999999E-2</v>
      </c>
      <c r="O18" s="14"/>
    </row>
    <row r="19" spans="1:15" x14ac:dyDescent="0.25">
      <c r="A19" s="1"/>
      <c r="B19" s="17">
        <f t="shared" si="0"/>
        <v>12</v>
      </c>
      <c r="C19" s="22" t="s">
        <v>4</v>
      </c>
      <c r="D19" s="19" t="s">
        <v>41</v>
      </c>
      <c r="E19" s="19" t="s">
        <v>110</v>
      </c>
      <c r="F19" s="19" t="s">
        <v>168</v>
      </c>
      <c r="G19" s="19" t="s">
        <v>220</v>
      </c>
      <c r="H19" s="19" t="s">
        <v>264</v>
      </c>
      <c r="I19" s="19" t="s">
        <v>389</v>
      </c>
      <c r="J19" s="19" t="s">
        <v>303</v>
      </c>
      <c r="K19" s="19" t="s">
        <v>360</v>
      </c>
      <c r="L19" s="19">
        <v>1</v>
      </c>
      <c r="M19" s="20">
        <v>6.3E-3</v>
      </c>
      <c r="N19" s="46">
        <f t="shared" si="1"/>
        <v>6.3E-3</v>
      </c>
      <c r="O19" s="19"/>
    </row>
    <row r="20" spans="1:15" ht="24" x14ac:dyDescent="0.25">
      <c r="A20" s="1"/>
      <c r="B20" s="16">
        <f>ROW(B20) - ROW($B$7)</f>
        <v>13</v>
      </c>
      <c r="C20" s="21" t="s">
        <v>4</v>
      </c>
      <c r="D20" s="14" t="s">
        <v>42</v>
      </c>
      <c r="E20" s="14" t="s">
        <v>111</v>
      </c>
      <c r="F20" s="14" t="s">
        <v>168</v>
      </c>
      <c r="G20" s="14" t="s">
        <v>221</v>
      </c>
      <c r="H20" s="14" t="s">
        <v>264</v>
      </c>
      <c r="I20" s="19" t="s">
        <v>389</v>
      </c>
      <c r="J20" s="14" t="s">
        <v>304</v>
      </c>
      <c r="K20" s="14" t="s">
        <v>361</v>
      </c>
      <c r="L20" s="14">
        <v>4</v>
      </c>
      <c r="M20" s="15">
        <v>1.755E-2</v>
      </c>
      <c r="N20" s="46">
        <f t="shared" si="1"/>
        <v>7.0199999999999999E-2</v>
      </c>
      <c r="O20" s="14"/>
    </row>
    <row r="21" spans="1:15" x14ac:dyDescent="0.25">
      <c r="A21" s="1"/>
      <c r="B21" s="17">
        <f t="shared" si="0"/>
        <v>14</v>
      </c>
      <c r="C21" s="21" t="s">
        <v>4</v>
      </c>
      <c r="D21" s="19" t="s">
        <v>43</v>
      </c>
      <c r="E21" s="19" t="s">
        <v>112</v>
      </c>
      <c r="F21" s="19" t="s">
        <v>168</v>
      </c>
      <c r="G21" s="19" t="s">
        <v>222</v>
      </c>
      <c r="H21" s="19" t="s">
        <v>267</v>
      </c>
      <c r="I21" s="19" t="s">
        <v>389</v>
      </c>
      <c r="J21" s="19" t="s">
        <v>305</v>
      </c>
      <c r="K21" s="19" t="s">
        <v>362</v>
      </c>
      <c r="L21" s="19">
        <v>4</v>
      </c>
      <c r="M21" s="20">
        <v>8.5500000000000003E-3</v>
      </c>
      <c r="N21" s="46">
        <f t="shared" si="1"/>
        <v>3.4200000000000001E-2</v>
      </c>
      <c r="O21" s="19"/>
    </row>
    <row r="22" spans="1:15" x14ac:dyDescent="0.25">
      <c r="A22" s="1"/>
      <c r="B22" s="16">
        <f>ROW(B22) - ROW($B$7)</f>
        <v>15</v>
      </c>
      <c r="C22" s="21" t="s">
        <v>4</v>
      </c>
      <c r="D22" s="14" t="s">
        <v>44</v>
      </c>
      <c r="E22" s="14" t="s">
        <v>113</v>
      </c>
      <c r="F22" s="14" t="s">
        <v>173</v>
      </c>
      <c r="G22" s="14" t="s">
        <v>223</v>
      </c>
      <c r="H22" s="14" t="s">
        <v>264</v>
      </c>
      <c r="I22" s="19" t="s">
        <v>389</v>
      </c>
      <c r="J22" s="14" t="s">
        <v>306</v>
      </c>
      <c r="K22" s="14" t="s">
        <v>363</v>
      </c>
      <c r="L22" s="14">
        <v>2</v>
      </c>
      <c r="M22" s="15">
        <v>4.7024999999999997E-2</v>
      </c>
      <c r="N22" s="46">
        <f t="shared" si="1"/>
        <v>9.4049999999999995E-2</v>
      </c>
      <c r="O22" s="14"/>
    </row>
    <row r="23" spans="1:15" x14ac:dyDescent="0.25">
      <c r="A23" s="1"/>
      <c r="B23" s="17">
        <f t="shared" si="0"/>
        <v>16</v>
      </c>
      <c r="C23" s="22" t="s">
        <v>4</v>
      </c>
      <c r="D23" s="19" t="s">
        <v>45</v>
      </c>
      <c r="E23" s="19" t="s">
        <v>114</v>
      </c>
      <c r="F23" s="19" t="s">
        <v>168</v>
      </c>
      <c r="G23" s="19" t="s">
        <v>224</v>
      </c>
      <c r="H23" s="19" t="s">
        <v>264</v>
      </c>
      <c r="I23" s="19" t="s">
        <v>389</v>
      </c>
      <c r="J23" s="19" t="s">
        <v>307</v>
      </c>
      <c r="K23" s="19" t="s">
        <v>364</v>
      </c>
      <c r="L23" s="19">
        <v>1</v>
      </c>
      <c r="M23" s="20">
        <v>2.1150000000000002E-2</v>
      </c>
      <c r="N23" s="46">
        <f t="shared" si="1"/>
        <v>2.1150000000000002E-2</v>
      </c>
      <c r="O23" s="19"/>
    </row>
    <row r="24" spans="1:15" x14ac:dyDescent="0.25">
      <c r="A24" s="1"/>
      <c r="B24" s="16">
        <f>ROW(B24) - ROW($B$7)</f>
        <v>17</v>
      </c>
      <c r="C24" s="22" t="s">
        <v>4</v>
      </c>
      <c r="D24" s="14" t="s">
        <v>46</v>
      </c>
      <c r="E24" s="14" t="s">
        <v>115</v>
      </c>
      <c r="F24" s="14" t="s">
        <v>174</v>
      </c>
      <c r="G24" s="14" t="s">
        <v>225</v>
      </c>
      <c r="H24" s="14" t="s">
        <v>269</v>
      </c>
      <c r="I24" s="14" t="s">
        <v>389</v>
      </c>
      <c r="J24" s="14" t="s">
        <v>386</v>
      </c>
      <c r="K24" s="14" t="s">
        <v>389</v>
      </c>
      <c r="L24" s="14">
        <v>1</v>
      </c>
      <c r="M24" s="15">
        <v>9.9225000000000008E-2</v>
      </c>
      <c r="N24" s="46">
        <f t="shared" si="1"/>
        <v>9.9225000000000008E-2</v>
      </c>
      <c r="O24" s="14"/>
    </row>
    <row r="25" spans="1:15" ht="36" x14ac:dyDescent="0.25">
      <c r="A25" s="1"/>
      <c r="B25" s="17">
        <f t="shared" si="0"/>
        <v>18</v>
      </c>
      <c r="C25" s="22" t="s">
        <v>6</v>
      </c>
      <c r="D25" s="19" t="s">
        <v>47</v>
      </c>
      <c r="E25" s="19" t="s">
        <v>116</v>
      </c>
      <c r="F25" s="19" t="s">
        <v>175</v>
      </c>
      <c r="G25" s="19" t="s">
        <v>226</v>
      </c>
      <c r="H25" s="19" t="s">
        <v>269</v>
      </c>
      <c r="I25" s="19" t="s">
        <v>389</v>
      </c>
      <c r="J25" s="19" t="s">
        <v>308</v>
      </c>
      <c r="K25" s="14" t="s">
        <v>389</v>
      </c>
      <c r="L25" s="19">
        <v>1</v>
      </c>
      <c r="M25" s="20">
        <v>7.8299999999999995E-2</v>
      </c>
      <c r="N25" s="46">
        <f t="shared" si="1"/>
        <v>7.8299999999999995E-2</v>
      </c>
      <c r="O25" s="19"/>
    </row>
    <row r="26" spans="1:15" x14ac:dyDescent="0.25">
      <c r="A26" s="1"/>
      <c r="B26" s="16">
        <f>ROW(B26) - ROW($B$7)</f>
        <v>19</v>
      </c>
      <c r="C26" s="21" t="s">
        <v>7</v>
      </c>
      <c r="D26" s="14" t="s">
        <v>48</v>
      </c>
      <c r="E26" s="14" t="s">
        <v>117</v>
      </c>
      <c r="F26" s="14" t="s">
        <v>176</v>
      </c>
      <c r="G26" s="14" t="s">
        <v>227</v>
      </c>
      <c r="H26" s="14" t="s">
        <v>270</v>
      </c>
      <c r="I26" s="14" t="s">
        <v>389</v>
      </c>
      <c r="J26" s="14" t="s">
        <v>309</v>
      </c>
      <c r="K26" s="14" t="s">
        <v>389</v>
      </c>
      <c r="L26" s="14">
        <v>1</v>
      </c>
      <c r="M26" s="15">
        <v>0.2475</v>
      </c>
      <c r="N26" s="46">
        <f t="shared" si="1"/>
        <v>0.2475</v>
      </c>
      <c r="O26" s="14"/>
    </row>
    <row r="27" spans="1:15" x14ac:dyDescent="0.25">
      <c r="A27" s="1"/>
      <c r="B27" s="17">
        <f t="shared" si="0"/>
        <v>20</v>
      </c>
      <c r="C27" s="21" t="s">
        <v>7</v>
      </c>
      <c r="D27" s="19" t="s">
        <v>49</v>
      </c>
      <c r="E27" s="19" t="s">
        <v>118</v>
      </c>
      <c r="F27" s="19" t="s">
        <v>175</v>
      </c>
      <c r="G27" s="19" t="s">
        <v>228</v>
      </c>
      <c r="H27" s="19" t="s">
        <v>271</v>
      </c>
      <c r="I27" s="19" t="s">
        <v>389</v>
      </c>
      <c r="J27" s="14" t="s">
        <v>8</v>
      </c>
      <c r="K27" s="14" t="s">
        <v>389</v>
      </c>
      <c r="L27" s="19">
        <v>1</v>
      </c>
      <c r="M27" s="20">
        <v>7.7399999999999997E-2</v>
      </c>
      <c r="N27" s="46">
        <f t="shared" si="1"/>
        <v>7.7399999999999997E-2</v>
      </c>
      <c r="O27" s="19"/>
    </row>
    <row r="28" spans="1:15" x14ac:dyDescent="0.25">
      <c r="A28" s="1"/>
      <c r="B28" s="16">
        <f>ROW(B28) - ROW($B$7)</f>
        <v>21</v>
      </c>
      <c r="C28" s="21" t="s">
        <v>7</v>
      </c>
      <c r="D28" s="14" t="s">
        <v>50</v>
      </c>
      <c r="E28" s="14" t="s">
        <v>119</v>
      </c>
      <c r="F28" s="14" t="s">
        <v>177</v>
      </c>
      <c r="G28" s="14" t="s">
        <v>229</v>
      </c>
      <c r="H28" s="14" t="s">
        <v>270</v>
      </c>
      <c r="I28" s="14" t="s">
        <v>389</v>
      </c>
      <c r="J28" s="14" t="s">
        <v>310</v>
      </c>
      <c r="K28" s="14" t="s">
        <v>389</v>
      </c>
      <c r="L28" s="14">
        <v>2</v>
      </c>
      <c r="M28" s="15">
        <v>3.2625000000000001E-2</v>
      </c>
      <c r="N28" s="46">
        <f t="shared" si="1"/>
        <v>6.5250000000000002E-2</v>
      </c>
      <c r="O28" s="14"/>
    </row>
    <row r="29" spans="1:15" ht="24" x14ac:dyDescent="0.25">
      <c r="A29" s="1"/>
      <c r="B29" s="17">
        <f t="shared" si="0"/>
        <v>22</v>
      </c>
      <c r="C29" s="22" t="s">
        <v>9</v>
      </c>
      <c r="D29" s="19" t="s">
        <v>51</v>
      </c>
      <c r="E29" s="19" t="s">
        <v>120</v>
      </c>
      <c r="F29" s="19" t="s">
        <v>395</v>
      </c>
      <c r="G29" s="19" t="s">
        <v>398</v>
      </c>
      <c r="H29" s="19" t="s">
        <v>272</v>
      </c>
      <c r="I29" s="19" t="s">
        <v>389</v>
      </c>
      <c r="J29" s="19" t="s">
        <v>230</v>
      </c>
      <c r="K29" s="14" t="s">
        <v>389</v>
      </c>
      <c r="L29" s="19">
        <v>1</v>
      </c>
      <c r="M29" s="20">
        <v>0.145125</v>
      </c>
      <c r="N29" s="46">
        <f t="shared" si="1"/>
        <v>0.145125</v>
      </c>
      <c r="O29" s="19"/>
    </row>
    <row r="30" spans="1:15" ht="48" x14ac:dyDescent="0.25">
      <c r="A30" s="1"/>
      <c r="B30" s="16">
        <f>ROW(B30) - ROW($B$7)</f>
        <v>23</v>
      </c>
      <c r="C30" s="21" t="s">
        <v>10</v>
      </c>
      <c r="D30" s="14" t="s">
        <v>52</v>
      </c>
      <c r="E30" s="14" t="s">
        <v>121</v>
      </c>
      <c r="F30" s="14" t="s">
        <v>395</v>
      </c>
      <c r="G30" s="14" t="s">
        <v>178</v>
      </c>
      <c r="H30" s="14" t="s">
        <v>273</v>
      </c>
      <c r="I30" s="19" t="s">
        <v>389</v>
      </c>
      <c r="J30" s="14" t="s">
        <v>311</v>
      </c>
      <c r="K30" s="14" t="s">
        <v>389</v>
      </c>
      <c r="L30" s="14">
        <v>1</v>
      </c>
      <c r="M30" s="15">
        <v>0.56182500000000002</v>
      </c>
      <c r="N30" s="46">
        <f t="shared" si="1"/>
        <v>0.56182500000000002</v>
      </c>
      <c r="O30" s="14"/>
    </row>
    <row r="31" spans="1:15" ht="48" x14ac:dyDescent="0.25">
      <c r="A31" s="1"/>
      <c r="B31" s="17">
        <f t="shared" si="0"/>
        <v>24</v>
      </c>
      <c r="C31" s="22" t="s">
        <v>11</v>
      </c>
      <c r="D31" s="19" t="s">
        <v>53</v>
      </c>
      <c r="E31" s="19" t="s">
        <v>122</v>
      </c>
      <c r="F31" s="19" t="s">
        <v>179</v>
      </c>
      <c r="G31" s="19" t="s">
        <v>231</v>
      </c>
      <c r="H31" s="19" t="s">
        <v>274</v>
      </c>
      <c r="I31" s="19" t="s">
        <v>389</v>
      </c>
      <c r="J31" s="19" t="s">
        <v>312</v>
      </c>
      <c r="K31" s="14" t="s">
        <v>389</v>
      </c>
      <c r="L31" s="19">
        <v>2</v>
      </c>
      <c r="M31" s="20">
        <v>0.113625</v>
      </c>
      <c r="N31" s="46">
        <f t="shared" si="1"/>
        <v>0.22725000000000001</v>
      </c>
      <c r="O31" s="19"/>
    </row>
    <row r="32" spans="1:15" ht="48" x14ac:dyDescent="0.25">
      <c r="A32" s="1"/>
      <c r="B32" s="16">
        <f>ROW(B32) - ROW($B$7)</f>
        <v>25</v>
      </c>
      <c r="C32" s="21" t="s">
        <v>12</v>
      </c>
      <c r="D32" s="14" t="s">
        <v>54</v>
      </c>
      <c r="E32" s="14" t="s">
        <v>123</v>
      </c>
      <c r="F32" s="14" t="s">
        <v>180</v>
      </c>
      <c r="G32" s="14" t="s">
        <v>232</v>
      </c>
      <c r="H32" s="14" t="s">
        <v>275</v>
      </c>
      <c r="I32" s="19" t="s">
        <v>389</v>
      </c>
      <c r="J32" s="14" t="s">
        <v>313</v>
      </c>
      <c r="K32" s="14" t="s">
        <v>389</v>
      </c>
      <c r="L32" s="14">
        <v>1</v>
      </c>
      <c r="M32" s="15">
        <v>8.0325000000000008E-2</v>
      </c>
      <c r="N32" s="46">
        <f t="shared" si="1"/>
        <v>8.0325000000000008E-2</v>
      </c>
      <c r="O32" s="14"/>
    </row>
    <row r="33" spans="1:15" ht="48" x14ac:dyDescent="0.25">
      <c r="A33" s="1"/>
      <c r="B33" s="17">
        <f t="shared" si="0"/>
        <v>26</v>
      </c>
      <c r="C33" s="22" t="s">
        <v>10</v>
      </c>
      <c r="D33" s="19" t="s">
        <v>55</v>
      </c>
      <c r="E33" s="19" t="s">
        <v>124</v>
      </c>
      <c r="F33" s="19" t="s">
        <v>395</v>
      </c>
      <c r="G33" s="19" t="s">
        <v>181</v>
      </c>
      <c r="H33" s="19" t="s">
        <v>276</v>
      </c>
      <c r="I33" s="19" t="s">
        <v>389</v>
      </c>
      <c r="J33" s="19" t="s">
        <v>314</v>
      </c>
      <c r="K33" s="14" t="s">
        <v>389</v>
      </c>
      <c r="L33" s="19">
        <v>1</v>
      </c>
      <c r="M33" s="20">
        <v>0.33772500000000005</v>
      </c>
      <c r="N33" s="46">
        <f t="shared" si="1"/>
        <v>0.33772500000000005</v>
      </c>
      <c r="O33" s="19"/>
    </row>
    <row r="34" spans="1:15" ht="48" x14ac:dyDescent="0.25">
      <c r="A34" s="1"/>
      <c r="B34" s="16">
        <f>ROW(B34) - ROW($B$7)</f>
        <v>27</v>
      </c>
      <c r="C34" s="21" t="s">
        <v>10</v>
      </c>
      <c r="D34" s="14" t="s">
        <v>56</v>
      </c>
      <c r="E34" s="14" t="s">
        <v>125</v>
      </c>
      <c r="F34" s="19" t="s">
        <v>395</v>
      </c>
      <c r="G34" s="14" t="s">
        <v>182</v>
      </c>
      <c r="H34" s="14" t="s">
        <v>277</v>
      </c>
      <c r="I34" s="19" t="s">
        <v>389</v>
      </c>
      <c r="J34" s="14" t="s">
        <v>315</v>
      </c>
      <c r="K34" s="14" t="s">
        <v>389</v>
      </c>
      <c r="L34" s="14">
        <v>1</v>
      </c>
      <c r="M34" s="15">
        <v>0.35752500000000004</v>
      </c>
      <c r="N34" s="46">
        <f t="shared" si="1"/>
        <v>0.35752500000000004</v>
      </c>
      <c r="O34" s="14"/>
    </row>
    <row r="35" spans="1:15" ht="24" x14ac:dyDescent="0.25">
      <c r="A35" s="1"/>
      <c r="B35" s="17">
        <f t="shared" si="0"/>
        <v>28</v>
      </c>
      <c r="C35" s="22" t="s">
        <v>390</v>
      </c>
      <c r="D35" s="19" t="s">
        <v>57</v>
      </c>
      <c r="E35" s="19" t="s">
        <v>126</v>
      </c>
      <c r="F35" s="19" t="s">
        <v>395</v>
      </c>
      <c r="G35" s="19" t="s">
        <v>183</v>
      </c>
      <c r="H35" s="19" t="s">
        <v>278</v>
      </c>
      <c r="I35" s="19" t="s">
        <v>389</v>
      </c>
      <c r="J35" s="19" t="s">
        <v>316</v>
      </c>
      <c r="K35" s="14" t="s">
        <v>389</v>
      </c>
      <c r="L35" s="19">
        <v>1</v>
      </c>
      <c r="M35" s="20">
        <v>0.82845000000000002</v>
      </c>
      <c r="N35" s="46">
        <f t="shared" si="1"/>
        <v>0.82845000000000002</v>
      </c>
      <c r="O35" s="19"/>
    </row>
    <row r="36" spans="1:15" ht="48" x14ac:dyDescent="0.25">
      <c r="A36" s="1"/>
      <c r="B36" s="16">
        <f>ROW(B36) - ROW($B$7)</f>
        <v>29</v>
      </c>
      <c r="C36" s="21" t="s">
        <v>10</v>
      </c>
      <c r="D36" s="14" t="s">
        <v>58</v>
      </c>
      <c r="E36" s="14" t="s">
        <v>127</v>
      </c>
      <c r="F36" s="19" t="s">
        <v>395</v>
      </c>
      <c r="G36" s="14" t="s">
        <v>184</v>
      </c>
      <c r="H36" s="14" t="s">
        <v>277</v>
      </c>
      <c r="I36" s="19" t="s">
        <v>389</v>
      </c>
      <c r="J36" s="14" t="s">
        <v>317</v>
      </c>
      <c r="K36" s="14" t="s">
        <v>389</v>
      </c>
      <c r="L36" s="14">
        <v>1</v>
      </c>
      <c r="M36" s="15">
        <v>0.35640000000000005</v>
      </c>
      <c r="N36" s="46">
        <f t="shared" si="1"/>
        <v>0.35640000000000005</v>
      </c>
      <c r="O36" s="14"/>
    </row>
    <row r="37" spans="1:15" ht="48" x14ac:dyDescent="0.25">
      <c r="A37" s="1"/>
      <c r="B37" s="17">
        <f t="shared" si="0"/>
        <v>30</v>
      </c>
      <c r="C37" s="22" t="s">
        <v>12</v>
      </c>
      <c r="D37" s="19" t="s">
        <v>59</v>
      </c>
      <c r="E37" s="19" t="s">
        <v>128</v>
      </c>
      <c r="F37" s="19" t="s">
        <v>185</v>
      </c>
      <c r="G37" s="19" t="s">
        <v>233</v>
      </c>
      <c r="H37" s="19" t="s">
        <v>275</v>
      </c>
      <c r="I37" s="19" t="s">
        <v>389</v>
      </c>
      <c r="J37" s="19" t="s">
        <v>318</v>
      </c>
      <c r="K37" s="14" t="s">
        <v>389</v>
      </c>
      <c r="L37" s="19">
        <v>1</v>
      </c>
      <c r="M37" s="20">
        <v>4.2300000000000004E-2</v>
      </c>
      <c r="N37" s="46">
        <f t="shared" si="1"/>
        <v>4.2300000000000004E-2</v>
      </c>
      <c r="O37" s="19"/>
    </row>
    <row r="38" spans="1:15" ht="24" x14ac:dyDescent="0.25">
      <c r="A38" s="1"/>
      <c r="B38" s="16">
        <f>ROW(B38) - ROW($B$7)</f>
        <v>31</v>
      </c>
      <c r="C38" s="21" t="s">
        <v>13</v>
      </c>
      <c r="D38" s="14" t="s">
        <v>60</v>
      </c>
      <c r="E38" s="14" t="s">
        <v>129</v>
      </c>
      <c r="F38" s="14" t="s">
        <v>395</v>
      </c>
      <c r="G38" s="14" t="s">
        <v>186</v>
      </c>
      <c r="H38" s="14" t="s">
        <v>279</v>
      </c>
      <c r="I38" s="19" t="s">
        <v>389</v>
      </c>
      <c r="J38" s="14" t="s">
        <v>319</v>
      </c>
      <c r="K38" s="14" t="s">
        <v>389</v>
      </c>
      <c r="L38" s="14">
        <v>1</v>
      </c>
      <c r="M38" s="15">
        <v>1.5246</v>
      </c>
      <c r="N38" s="46">
        <f t="shared" si="1"/>
        <v>1.5246</v>
      </c>
      <c r="O38" s="14"/>
    </row>
    <row r="39" spans="1:15" ht="24" x14ac:dyDescent="0.25">
      <c r="A39" s="1"/>
      <c r="B39" s="17">
        <f t="shared" si="0"/>
        <v>32</v>
      </c>
      <c r="C39" s="22" t="s">
        <v>14</v>
      </c>
      <c r="D39" s="19" t="s">
        <v>61</v>
      </c>
      <c r="E39" s="19" t="s">
        <v>130</v>
      </c>
      <c r="F39" s="14" t="s">
        <v>395</v>
      </c>
      <c r="G39" s="19" t="s">
        <v>187</v>
      </c>
      <c r="H39" s="19" t="s">
        <v>280</v>
      </c>
      <c r="I39" s="19" t="s">
        <v>389</v>
      </c>
      <c r="J39" s="19" t="s">
        <v>320</v>
      </c>
      <c r="K39" s="19" t="s">
        <v>365</v>
      </c>
      <c r="L39" s="19">
        <v>1</v>
      </c>
      <c r="M39" s="20">
        <v>0.38137500000000002</v>
      </c>
      <c r="N39" s="46">
        <f t="shared" si="1"/>
        <v>0.38137500000000002</v>
      </c>
      <c r="O39" s="19"/>
    </row>
    <row r="40" spans="1:15" ht="36" x14ac:dyDescent="0.25">
      <c r="A40" s="1"/>
      <c r="B40" s="16">
        <f>ROW(B40) - ROW($B$7)</f>
        <v>33</v>
      </c>
      <c r="C40" s="21" t="s">
        <v>15</v>
      </c>
      <c r="D40" s="14" t="s">
        <v>62</v>
      </c>
      <c r="E40" s="14" t="s">
        <v>131</v>
      </c>
      <c r="F40" s="14" t="s">
        <v>188</v>
      </c>
      <c r="G40" s="14" t="s">
        <v>234</v>
      </c>
      <c r="H40" s="14" t="s">
        <v>281</v>
      </c>
      <c r="I40" s="19" t="s">
        <v>389</v>
      </c>
      <c r="J40" s="14" t="s">
        <v>321</v>
      </c>
      <c r="K40" s="14" t="s">
        <v>389</v>
      </c>
      <c r="L40" s="14">
        <v>2</v>
      </c>
      <c r="M40" s="15">
        <v>6.93E-2</v>
      </c>
      <c r="N40" s="46">
        <f t="shared" si="1"/>
        <v>0.1386</v>
      </c>
      <c r="O40" s="14"/>
    </row>
    <row r="41" spans="1:15" ht="36" x14ac:dyDescent="0.25">
      <c r="A41" s="1"/>
      <c r="B41" s="17">
        <f t="shared" si="0"/>
        <v>34</v>
      </c>
      <c r="C41" s="22" t="s">
        <v>15</v>
      </c>
      <c r="D41" s="19" t="s">
        <v>63</v>
      </c>
      <c r="E41" s="19" t="s">
        <v>132</v>
      </c>
      <c r="F41" s="19" t="s">
        <v>189</v>
      </c>
      <c r="G41" s="19" t="s">
        <v>235</v>
      </c>
      <c r="H41" s="19" t="s">
        <v>281</v>
      </c>
      <c r="I41" s="19" t="s">
        <v>389</v>
      </c>
      <c r="J41" s="19" t="s">
        <v>322</v>
      </c>
      <c r="K41" s="14" t="s">
        <v>389</v>
      </c>
      <c r="L41" s="19">
        <v>2</v>
      </c>
      <c r="M41" s="20">
        <v>7.5600000000000001E-2</v>
      </c>
      <c r="N41" s="46">
        <f t="shared" si="1"/>
        <v>0.1512</v>
      </c>
      <c r="O41" s="19"/>
    </row>
    <row r="42" spans="1:15" ht="48" x14ac:dyDescent="0.25">
      <c r="A42" s="1"/>
      <c r="B42" s="16">
        <f>ROW(B42) - ROW($B$7)</f>
        <v>35</v>
      </c>
      <c r="C42" s="21" t="s">
        <v>15</v>
      </c>
      <c r="D42" s="14" t="s">
        <v>64</v>
      </c>
      <c r="E42" s="14" t="s">
        <v>133</v>
      </c>
      <c r="F42" s="14" t="s">
        <v>189</v>
      </c>
      <c r="G42" s="14" t="s">
        <v>236</v>
      </c>
      <c r="H42" s="14" t="s">
        <v>282</v>
      </c>
      <c r="I42" s="19" t="s">
        <v>389</v>
      </c>
      <c r="J42" s="14" t="s">
        <v>323</v>
      </c>
      <c r="K42" s="14" t="s">
        <v>389</v>
      </c>
      <c r="L42" s="14">
        <v>2</v>
      </c>
      <c r="M42" s="15">
        <v>0.142875</v>
      </c>
      <c r="N42" s="46">
        <f t="shared" si="1"/>
        <v>0.28575</v>
      </c>
      <c r="O42" s="14"/>
    </row>
    <row r="43" spans="1:15" ht="36" x14ac:dyDescent="0.25">
      <c r="A43" s="1"/>
      <c r="B43" s="17">
        <f t="shared" si="0"/>
        <v>36</v>
      </c>
      <c r="C43" s="22" t="s">
        <v>16</v>
      </c>
      <c r="D43" s="19" t="s">
        <v>65</v>
      </c>
      <c r="E43" s="19" t="s">
        <v>134</v>
      </c>
      <c r="F43" s="19" t="s">
        <v>395</v>
      </c>
      <c r="G43" s="19" t="s">
        <v>190</v>
      </c>
      <c r="H43" s="19" t="s">
        <v>283</v>
      </c>
      <c r="I43" s="19" t="s">
        <v>389</v>
      </c>
      <c r="J43" s="19" t="s">
        <v>324</v>
      </c>
      <c r="K43" s="14" t="s">
        <v>389</v>
      </c>
      <c r="L43" s="19">
        <v>1</v>
      </c>
      <c r="M43" s="20">
        <v>0.673875</v>
      </c>
      <c r="N43" s="46">
        <f t="shared" si="1"/>
        <v>0.673875</v>
      </c>
      <c r="O43" s="19"/>
    </row>
    <row r="44" spans="1:15" x14ac:dyDescent="0.25">
      <c r="A44" s="1"/>
      <c r="B44" s="16">
        <f>ROW(B44) - ROW($B$7)</f>
        <v>37</v>
      </c>
      <c r="C44" s="21" t="s">
        <v>17</v>
      </c>
      <c r="D44" s="40" t="s">
        <v>66</v>
      </c>
      <c r="E44" s="40" t="s">
        <v>135</v>
      </c>
      <c r="F44" s="40" t="s">
        <v>395</v>
      </c>
      <c r="G44" s="40" t="s">
        <v>191</v>
      </c>
      <c r="H44" s="40" t="s">
        <v>389</v>
      </c>
      <c r="I44" s="40" t="s">
        <v>389</v>
      </c>
      <c r="J44" s="40" t="s">
        <v>389</v>
      </c>
      <c r="K44" s="40" t="s">
        <v>389</v>
      </c>
      <c r="L44" s="40">
        <v>4</v>
      </c>
      <c r="M44" s="41">
        <v>0</v>
      </c>
      <c r="N44" s="46">
        <f t="shared" si="1"/>
        <v>0</v>
      </c>
      <c r="O44" s="42" t="s">
        <v>399</v>
      </c>
    </row>
    <row r="45" spans="1:15" x14ac:dyDescent="0.25">
      <c r="A45" s="1"/>
      <c r="B45" s="17">
        <f t="shared" si="0"/>
        <v>38</v>
      </c>
      <c r="C45" s="22" t="s">
        <v>18</v>
      </c>
      <c r="D45" s="19" t="s">
        <v>67</v>
      </c>
      <c r="E45" s="19" t="s">
        <v>136</v>
      </c>
      <c r="F45" s="19" t="s">
        <v>192</v>
      </c>
      <c r="G45" s="19" t="s">
        <v>237</v>
      </c>
      <c r="H45" s="19" t="s">
        <v>270</v>
      </c>
      <c r="I45" s="19" t="s">
        <v>389</v>
      </c>
      <c r="J45" s="19" t="s">
        <v>325</v>
      </c>
      <c r="K45" s="14" t="s">
        <v>389</v>
      </c>
      <c r="L45" s="19">
        <v>2</v>
      </c>
      <c r="M45" s="20">
        <v>5.5350000000000003E-2</v>
      </c>
      <c r="N45" s="46">
        <f t="shared" si="1"/>
        <v>0.11070000000000001</v>
      </c>
      <c r="O45" s="19"/>
    </row>
    <row r="46" spans="1:15" x14ac:dyDescent="0.25">
      <c r="A46" s="1"/>
      <c r="B46" s="16">
        <f>ROW(B46) - ROW($B$7)</f>
        <v>39</v>
      </c>
      <c r="C46" s="21"/>
      <c r="D46" s="14" t="s">
        <v>68</v>
      </c>
      <c r="E46" s="14" t="s">
        <v>137</v>
      </c>
      <c r="F46" s="14" t="s">
        <v>193</v>
      </c>
      <c r="G46" s="14" t="s">
        <v>238</v>
      </c>
      <c r="H46" s="14" t="s">
        <v>264</v>
      </c>
      <c r="I46" s="19" t="s">
        <v>389</v>
      </c>
      <c r="J46" s="14" t="s">
        <v>388</v>
      </c>
      <c r="K46" s="14" t="s">
        <v>366</v>
      </c>
      <c r="L46" s="14">
        <v>1</v>
      </c>
      <c r="M46" s="15">
        <v>5.1975E-2</v>
      </c>
      <c r="N46" s="46">
        <f t="shared" si="1"/>
        <v>5.1975E-2</v>
      </c>
      <c r="O46" s="14"/>
    </row>
    <row r="47" spans="1:15" x14ac:dyDescent="0.25">
      <c r="A47" s="1"/>
      <c r="B47" s="17">
        <f t="shared" si="0"/>
        <v>40</v>
      </c>
      <c r="C47" s="22" t="s">
        <v>19</v>
      </c>
      <c r="D47" s="19" t="s">
        <v>69</v>
      </c>
      <c r="E47" s="19" t="s">
        <v>138</v>
      </c>
      <c r="F47" s="19" t="s">
        <v>193</v>
      </c>
      <c r="G47" s="19" t="s">
        <v>239</v>
      </c>
      <c r="H47" s="19" t="s">
        <v>264</v>
      </c>
      <c r="I47" s="19" t="s">
        <v>389</v>
      </c>
      <c r="J47" s="19" t="s">
        <v>326</v>
      </c>
      <c r="K47" s="19" t="s">
        <v>367</v>
      </c>
      <c r="L47" s="19">
        <v>1</v>
      </c>
      <c r="M47" s="20">
        <v>2.6999999999999997E-3</v>
      </c>
      <c r="N47" s="46">
        <f t="shared" si="1"/>
        <v>2.6999999999999997E-3</v>
      </c>
      <c r="O47" s="19"/>
    </row>
    <row r="48" spans="1:15" x14ac:dyDescent="0.25">
      <c r="A48" s="1"/>
      <c r="B48" s="16">
        <f>ROW(B48) - ROW($B$7)</f>
        <v>41</v>
      </c>
      <c r="C48" s="21" t="s">
        <v>19</v>
      </c>
      <c r="D48" s="14" t="s">
        <v>70</v>
      </c>
      <c r="E48" s="14" t="s">
        <v>139</v>
      </c>
      <c r="F48" s="14" t="s">
        <v>194</v>
      </c>
      <c r="G48" s="14" t="s">
        <v>240</v>
      </c>
      <c r="H48" s="14" t="s">
        <v>264</v>
      </c>
      <c r="I48" s="19" t="s">
        <v>389</v>
      </c>
      <c r="J48" s="14" t="s">
        <v>327</v>
      </c>
      <c r="K48" s="14" t="s">
        <v>368</v>
      </c>
      <c r="L48" s="14">
        <v>1</v>
      </c>
      <c r="M48" s="15">
        <v>4.6799999999999994E-2</v>
      </c>
      <c r="N48" s="46">
        <f t="shared" si="1"/>
        <v>4.6799999999999994E-2</v>
      </c>
      <c r="O48" s="14"/>
    </row>
    <row r="49" spans="1:15" ht="24" x14ac:dyDescent="0.25">
      <c r="A49" s="1"/>
      <c r="B49" s="17">
        <f t="shared" si="0"/>
        <v>42</v>
      </c>
      <c r="C49" s="22" t="s">
        <v>19</v>
      </c>
      <c r="D49" s="19" t="s">
        <v>71</v>
      </c>
      <c r="E49" s="19" t="s">
        <v>140</v>
      </c>
      <c r="F49" s="19" t="s">
        <v>193</v>
      </c>
      <c r="G49" s="19" t="s">
        <v>241</v>
      </c>
      <c r="H49" s="19" t="s">
        <v>264</v>
      </c>
      <c r="I49" s="19" t="s">
        <v>389</v>
      </c>
      <c r="J49" s="19" t="s">
        <v>328</v>
      </c>
      <c r="K49" s="19" t="s">
        <v>369</v>
      </c>
      <c r="L49" s="19">
        <v>12</v>
      </c>
      <c r="M49" s="20">
        <v>2.2500000000000003E-3</v>
      </c>
      <c r="N49" s="46">
        <f t="shared" si="1"/>
        <v>2.7000000000000003E-2</v>
      </c>
      <c r="O49" s="19"/>
    </row>
    <row r="50" spans="1:15" x14ac:dyDescent="0.25">
      <c r="A50" s="1"/>
      <c r="B50" s="16">
        <f>ROW(B50) - ROW($B$7)</f>
        <v>43</v>
      </c>
      <c r="C50" s="21" t="s">
        <v>19</v>
      </c>
      <c r="D50" s="14" t="s">
        <v>72</v>
      </c>
      <c r="E50" s="14" t="s">
        <v>141</v>
      </c>
      <c r="F50" s="14" t="s">
        <v>194</v>
      </c>
      <c r="G50" s="14" t="s">
        <v>242</v>
      </c>
      <c r="H50" s="14" t="s">
        <v>264</v>
      </c>
      <c r="I50" s="19" t="s">
        <v>389</v>
      </c>
      <c r="J50" s="14" t="s">
        <v>329</v>
      </c>
      <c r="K50" s="14" t="s">
        <v>370</v>
      </c>
      <c r="L50" s="14">
        <v>2</v>
      </c>
      <c r="M50" s="15">
        <v>1.3499999999999999E-3</v>
      </c>
      <c r="N50" s="46">
        <f t="shared" si="1"/>
        <v>2.6999999999999997E-3</v>
      </c>
      <c r="O50" s="14"/>
    </row>
    <row r="51" spans="1:15" x14ac:dyDescent="0.25">
      <c r="A51" s="1"/>
      <c r="B51" s="17">
        <f t="shared" si="0"/>
        <v>44</v>
      </c>
      <c r="C51" s="22" t="s">
        <v>19</v>
      </c>
      <c r="D51" s="19" t="s">
        <v>73</v>
      </c>
      <c r="E51" s="19" t="s">
        <v>142</v>
      </c>
      <c r="F51" s="19" t="s">
        <v>193</v>
      </c>
      <c r="G51" s="19" t="s">
        <v>243</v>
      </c>
      <c r="H51" s="19" t="s">
        <v>264</v>
      </c>
      <c r="I51" s="19"/>
      <c r="J51" s="19" t="s">
        <v>330</v>
      </c>
      <c r="K51" s="19" t="s">
        <v>371</v>
      </c>
      <c r="L51" s="19">
        <v>8</v>
      </c>
      <c r="M51" s="20">
        <v>2.6999999999999997E-3</v>
      </c>
      <c r="N51" s="46">
        <f t="shared" si="1"/>
        <v>2.1599999999999998E-2</v>
      </c>
      <c r="O51" s="19"/>
    </row>
    <row r="52" spans="1:15" x14ac:dyDescent="0.25">
      <c r="A52" s="1"/>
      <c r="B52" s="16">
        <f>ROW(B52) - ROW($B$7)</f>
        <v>45</v>
      </c>
      <c r="C52" s="21" t="s">
        <v>19</v>
      </c>
      <c r="D52" s="14" t="s">
        <v>74</v>
      </c>
      <c r="E52" s="14" t="s">
        <v>143</v>
      </c>
      <c r="F52" s="14" t="s">
        <v>195</v>
      </c>
      <c r="G52" s="14" t="s">
        <v>244</v>
      </c>
      <c r="H52" s="14" t="s">
        <v>264</v>
      </c>
      <c r="I52" s="14"/>
      <c r="J52" s="14" t="s">
        <v>331</v>
      </c>
      <c r="K52" s="14" t="s">
        <v>372</v>
      </c>
      <c r="L52" s="14">
        <v>2</v>
      </c>
      <c r="M52" s="15">
        <v>2.0249999999999999E-3</v>
      </c>
      <c r="N52" s="46">
        <f t="shared" si="1"/>
        <v>4.0499999999999998E-3</v>
      </c>
      <c r="O52" s="14"/>
    </row>
    <row r="53" spans="1:15" x14ac:dyDescent="0.25">
      <c r="A53" s="1"/>
      <c r="B53" s="17">
        <f t="shared" si="0"/>
        <v>46</v>
      </c>
      <c r="C53" s="21" t="s">
        <v>19</v>
      </c>
      <c r="D53" s="19" t="s">
        <v>75</v>
      </c>
      <c r="E53" s="19" t="s">
        <v>144</v>
      </c>
      <c r="F53" s="19" t="s">
        <v>193</v>
      </c>
      <c r="G53" s="19" t="s">
        <v>245</v>
      </c>
      <c r="H53" s="19" t="s">
        <v>264</v>
      </c>
      <c r="I53" s="19"/>
      <c r="J53" s="19" t="s">
        <v>332</v>
      </c>
      <c r="K53" s="19" t="s">
        <v>373</v>
      </c>
      <c r="L53" s="19">
        <v>4</v>
      </c>
      <c r="M53" s="20">
        <v>2.9249999999999996E-3</v>
      </c>
      <c r="N53" s="46">
        <f t="shared" si="1"/>
        <v>1.1699999999999999E-2</v>
      </c>
      <c r="O53" s="19"/>
    </row>
    <row r="54" spans="1:15" x14ac:dyDescent="0.25">
      <c r="A54" s="1"/>
      <c r="B54" s="16">
        <f>ROW(B54) - ROW($B$7)</f>
        <v>47</v>
      </c>
      <c r="C54" s="21" t="s">
        <v>19</v>
      </c>
      <c r="D54" s="14" t="s">
        <v>76</v>
      </c>
      <c r="E54" s="14" t="s">
        <v>145</v>
      </c>
      <c r="F54" s="14" t="s">
        <v>194</v>
      </c>
      <c r="G54" s="40" t="s">
        <v>246</v>
      </c>
      <c r="H54" s="14" t="s">
        <v>264</v>
      </c>
      <c r="I54" s="14" t="s">
        <v>402</v>
      </c>
      <c r="J54" s="14" t="s">
        <v>403</v>
      </c>
      <c r="K54" s="14" t="s">
        <v>374</v>
      </c>
      <c r="L54" s="14">
        <v>1</v>
      </c>
      <c r="M54" s="15">
        <v>4.5000000000000005E-3</v>
      </c>
      <c r="N54" s="46">
        <f t="shared" si="1"/>
        <v>4.5000000000000005E-3</v>
      </c>
      <c r="O54" s="14"/>
    </row>
    <row r="55" spans="1:15" ht="25.5" x14ac:dyDescent="0.25">
      <c r="A55" s="1"/>
      <c r="B55" s="17">
        <f t="shared" si="0"/>
        <v>48</v>
      </c>
      <c r="C55" s="22" t="s">
        <v>20</v>
      </c>
      <c r="D55" s="19" t="s">
        <v>77</v>
      </c>
      <c r="E55" s="19" t="s">
        <v>146</v>
      </c>
      <c r="F55" s="19" t="s">
        <v>196</v>
      </c>
      <c r="G55" s="43" t="s">
        <v>247</v>
      </c>
      <c r="H55" s="19" t="s">
        <v>284</v>
      </c>
      <c r="I55" s="19" t="s">
        <v>405</v>
      </c>
      <c r="J55" s="19" t="s">
        <v>404</v>
      </c>
      <c r="K55" s="19" t="s">
        <v>375</v>
      </c>
      <c r="L55" s="19">
        <v>2</v>
      </c>
      <c r="M55" s="20">
        <v>0.18022500000000002</v>
      </c>
      <c r="N55" s="46">
        <f t="shared" si="1"/>
        <v>0.36045000000000005</v>
      </c>
      <c r="O55" s="19"/>
    </row>
    <row r="56" spans="1:15" x14ac:dyDescent="0.25">
      <c r="A56" s="1"/>
      <c r="B56" s="16">
        <f>ROW(B56) - ROW($B$7)</f>
        <v>49</v>
      </c>
      <c r="C56" s="22" t="s">
        <v>19</v>
      </c>
      <c r="D56" s="14" t="s">
        <v>78</v>
      </c>
      <c r="E56" s="14" t="s">
        <v>147</v>
      </c>
      <c r="F56" s="14" t="s">
        <v>193</v>
      </c>
      <c r="G56" s="14" t="s">
        <v>248</v>
      </c>
      <c r="H56" s="14" t="s">
        <v>264</v>
      </c>
      <c r="I56" s="14"/>
      <c r="J56" s="14" t="s">
        <v>333</v>
      </c>
      <c r="K56" s="14" t="s">
        <v>376</v>
      </c>
      <c r="L56" s="14">
        <v>2</v>
      </c>
      <c r="M56" s="15">
        <v>2.6999999999999997E-3</v>
      </c>
      <c r="N56" s="46">
        <f t="shared" si="1"/>
        <v>5.3999999999999994E-3</v>
      </c>
      <c r="O56" s="14"/>
    </row>
    <row r="57" spans="1:15" x14ac:dyDescent="0.25">
      <c r="A57" s="1"/>
      <c r="B57" s="17">
        <f t="shared" si="0"/>
        <v>50</v>
      </c>
      <c r="C57" s="22" t="s">
        <v>19</v>
      </c>
      <c r="D57" s="19" t="s">
        <v>79</v>
      </c>
      <c r="E57" s="19" t="s">
        <v>148</v>
      </c>
      <c r="F57" s="19" t="s">
        <v>193</v>
      </c>
      <c r="G57" s="19" t="s">
        <v>249</v>
      </c>
      <c r="H57" s="19" t="s">
        <v>264</v>
      </c>
      <c r="I57" s="19"/>
      <c r="J57" s="19" t="s">
        <v>334</v>
      </c>
      <c r="K57" s="19" t="s">
        <v>377</v>
      </c>
      <c r="L57" s="19">
        <v>4</v>
      </c>
      <c r="M57" s="20">
        <v>4.7024999999999997E-2</v>
      </c>
      <c r="N57" s="46">
        <f t="shared" si="1"/>
        <v>0.18809999999999999</v>
      </c>
      <c r="O57" s="19"/>
    </row>
    <row r="58" spans="1:15" x14ac:dyDescent="0.25">
      <c r="A58" s="1"/>
      <c r="B58" s="16">
        <f>ROW(B58) - ROW($B$7)</f>
        <v>51</v>
      </c>
      <c r="C58" s="21" t="s">
        <v>19</v>
      </c>
      <c r="D58" s="14" t="s">
        <v>80</v>
      </c>
      <c r="E58" s="14" t="s">
        <v>149</v>
      </c>
      <c r="F58" s="14" t="s">
        <v>193</v>
      </c>
      <c r="G58" s="14" t="s">
        <v>250</v>
      </c>
      <c r="H58" s="14" t="s">
        <v>264</v>
      </c>
      <c r="I58" s="14"/>
      <c r="J58" s="14" t="s">
        <v>335</v>
      </c>
      <c r="K58" s="14" t="s">
        <v>378</v>
      </c>
      <c r="L58" s="14">
        <v>1</v>
      </c>
      <c r="M58" s="15">
        <v>0.30712500000000004</v>
      </c>
      <c r="N58" s="46">
        <f t="shared" si="1"/>
        <v>0.30712500000000004</v>
      </c>
      <c r="O58" s="14"/>
    </row>
    <row r="59" spans="1:15" x14ac:dyDescent="0.25">
      <c r="A59" s="1"/>
      <c r="B59" s="17">
        <f t="shared" si="0"/>
        <v>52</v>
      </c>
      <c r="C59" s="22" t="s">
        <v>19</v>
      </c>
      <c r="D59" s="19" t="s">
        <v>81</v>
      </c>
      <c r="E59" s="19" t="s">
        <v>150</v>
      </c>
      <c r="F59" s="19" t="s">
        <v>193</v>
      </c>
      <c r="G59" s="43" t="s">
        <v>251</v>
      </c>
      <c r="H59" s="19" t="s">
        <v>264</v>
      </c>
      <c r="I59" s="19" t="s">
        <v>407</v>
      </c>
      <c r="J59" s="19" t="s">
        <v>406</v>
      </c>
      <c r="K59" s="19" t="s">
        <v>379</v>
      </c>
      <c r="L59" s="19">
        <v>3</v>
      </c>
      <c r="M59" s="20">
        <v>2.2500000000000003E-3</v>
      </c>
      <c r="N59" s="46">
        <f t="shared" si="1"/>
        <v>6.7500000000000008E-3</v>
      </c>
      <c r="O59" s="19"/>
    </row>
    <row r="60" spans="1:15" x14ac:dyDescent="0.25">
      <c r="A60" s="1"/>
      <c r="B60" s="16">
        <f>ROW(B60) - ROW($B$7)</f>
        <v>53</v>
      </c>
      <c r="C60" s="21" t="s">
        <v>19</v>
      </c>
      <c r="D60" s="14" t="s">
        <v>82</v>
      </c>
      <c r="E60" s="14" t="s">
        <v>151</v>
      </c>
      <c r="F60" s="14" t="s">
        <v>193</v>
      </c>
      <c r="G60" s="14" t="s">
        <v>252</v>
      </c>
      <c r="H60" s="14" t="s">
        <v>264</v>
      </c>
      <c r="I60" s="14" t="s">
        <v>389</v>
      </c>
      <c r="J60" s="14" t="s">
        <v>336</v>
      </c>
      <c r="K60" s="14" t="s">
        <v>380</v>
      </c>
      <c r="L60" s="14">
        <v>2</v>
      </c>
      <c r="M60" s="15">
        <v>2.6999999999999997E-3</v>
      </c>
      <c r="N60" s="46">
        <f t="shared" si="1"/>
        <v>5.3999999999999994E-3</v>
      </c>
      <c r="O60" s="14"/>
    </row>
    <row r="61" spans="1:15" x14ac:dyDescent="0.25">
      <c r="A61" s="1"/>
      <c r="B61" s="17">
        <f t="shared" si="0"/>
        <v>54</v>
      </c>
      <c r="C61" s="22" t="s">
        <v>19</v>
      </c>
      <c r="D61" s="19" t="s">
        <v>83</v>
      </c>
      <c r="E61" s="19" t="s">
        <v>152</v>
      </c>
      <c r="F61" s="19" t="s">
        <v>193</v>
      </c>
      <c r="G61" s="19" t="s">
        <v>253</v>
      </c>
      <c r="H61" s="19" t="s">
        <v>264</v>
      </c>
      <c r="I61" s="19"/>
      <c r="J61" s="19" t="s">
        <v>337</v>
      </c>
      <c r="K61" s="19" t="s">
        <v>381</v>
      </c>
      <c r="L61" s="19">
        <v>1</v>
      </c>
      <c r="M61" s="20">
        <v>2.6999999999999997E-3</v>
      </c>
      <c r="N61" s="46">
        <f t="shared" si="1"/>
        <v>2.6999999999999997E-3</v>
      </c>
      <c r="O61" s="19"/>
    </row>
    <row r="62" spans="1:15" ht="48" x14ac:dyDescent="0.25">
      <c r="A62" s="1"/>
      <c r="B62" s="16">
        <f>ROW(B62) - ROW($B$7)</f>
        <v>55</v>
      </c>
      <c r="C62" s="21" t="s">
        <v>21</v>
      </c>
      <c r="D62" s="14" t="s">
        <v>84</v>
      </c>
      <c r="E62" s="14" t="s">
        <v>153</v>
      </c>
      <c r="F62" s="14" t="s">
        <v>395</v>
      </c>
      <c r="G62" s="14" t="s">
        <v>197</v>
      </c>
      <c r="H62" s="14" t="s">
        <v>285</v>
      </c>
      <c r="I62" s="14"/>
      <c r="J62" s="14" t="s">
        <v>338</v>
      </c>
      <c r="K62" s="14" t="s">
        <v>389</v>
      </c>
      <c r="L62" s="14">
        <v>2</v>
      </c>
      <c r="M62" s="15">
        <v>4.4324999999999996E-2</v>
      </c>
      <c r="N62" s="46">
        <f t="shared" si="1"/>
        <v>8.8649999999999993E-2</v>
      </c>
      <c r="O62" s="14"/>
    </row>
    <row r="63" spans="1:15" x14ac:dyDescent="0.25">
      <c r="A63" s="1"/>
      <c r="B63" s="17">
        <f t="shared" si="0"/>
        <v>56</v>
      </c>
      <c r="C63" s="22" t="s">
        <v>22</v>
      </c>
      <c r="D63" s="19" t="s">
        <v>85</v>
      </c>
      <c r="E63" s="19" t="s">
        <v>154</v>
      </c>
      <c r="F63" s="14" t="s">
        <v>395</v>
      </c>
      <c r="G63" s="19" t="s">
        <v>198</v>
      </c>
      <c r="H63" s="19" t="s">
        <v>286</v>
      </c>
      <c r="I63" s="19" t="s">
        <v>389</v>
      </c>
      <c r="J63" s="19" t="s">
        <v>389</v>
      </c>
      <c r="K63" s="14" t="s">
        <v>389</v>
      </c>
      <c r="L63" s="19">
        <v>1</v>
      </c>
      <c r="M63" s="20">
        <v>81.627750000000006</v>
      </c>
      <c r="N63" s="46">
        <f t="shared" si="1"/>
        <v>81.627750000000006</v>
      </c>
      <c r="O63" s="19"/>
    </row>
    <row r="64" spans="1:15" ht="48" x14ac:dyDescent="0.25">
      <c r="A64" s="1"/>
      <c r="B64" s="16">
        <f>ROW(B64) - ROW($B$7)</f>
        <v>57</v>
      </c>
      <c r="C64" s="21" t="s">
        <v>23</v>
      </c>
      <c r="D64" s="14" t="s">
        <v>86</v>
      </c>
      <c r="E64" s="14" t="s">
        <v>155</v>
      </c>
      <c r="F64" s="14" t="s">
        <v>395</v>
      </c>
      <c r="G64" s="14" t="s">
        <v>254</v>
      </c>
      <c r="H64" s="14" t="s">
        <v>285</v>
      </c>
      <c r="I64" s="14"/>
      <c r="J64" s="14" t="s">
        <v>339</v>
      </c>
      <c r="K64" s="14" t="s">
        <v>389</v>
      </c>
      <c r="L64" s="14">
        <v>1</v>
      </c>
      <c r="M64" s="15">
        <v>0.59602500000000003</v>
      </c>
      <c r="N64" s="46">
        <f t="shared" si="1"/>
        <v>0.59602500000000003</v>
      </c>
      <c r="O64" s="14"/>
    </row>
    <row r="65" spans="1:15" ht="48" x14ac:dyDescent="0.25">
      <c r="A65" s="1"/>
      <c r="B65" s="17">
        <f t="shared" si="0"/>
        <v>58</v>
      </c>
      <c r="C65" s="22" t="s">
        <v>21</v>
      </c>
      <c r="D65" s="19" t="s">
        <v>87</v>
      </c>
      <c r="E65" s="19" t="s">
        <v>156</v>
      </c>
      <c r="F65" s="14" t="s">
        <v>395</v>
      </c>
      <c r="G65" s="19" t="s">
        <v>199</v>
      </c>
      <c r="H65" s="19" t="s">
        <v>287</v>
      </c>
      <c r="I65" s="19"/>
      <c r="J65" s="19" t="s">
        <v>340</v>
      </c>
      <c r="K65" s="14" t="s">
        <v>389</v>
      </c>
      <c r="L65" s="19">
        <v>1</v>
      </c>
      <c r="M65" s="20">
        <v>0.172125</v>
      </c>
      <c r="N65" s="46">
        <f t="shared" si="1"/>
        <v>0.172125</v>
      </c>
      <c r="O65" s="19"/>
    </row>
    <row r="66" spans="1:15" ht="36" x14ac:dyDescent="0.25">
      <c r="A66" s="1"/>
      <c r="B66" s="16">
        <f>ROW(B66) - ROW($B$7)</f>
        <v>59</v>
      </c>
      <c r="C66" s="21" t="s">
        <v>24</v>
      </c>
      <c r="D66" s="14" t="s">
        <v>88</v>
      </c>
      <c r="E66" s="14" t="s">
        <v>157</v>
      </c>
      <c r="F66" s="14" t="s">
        <v>395</v>
      </c>
      <c r="G66" s="14" t="s">
        <v>200</v>
      </c>
      <c r="H66" s="14" t="s">
        <v>287</v>
      </c>
      <c r="I66" s="14"/>
      <c r="J66" s="14" t="s">
        <v>341</v>
      </c>
      <c r="K66" s="14" t="s">
        <v>389</v>
      </c>
      <c r="L66" s="14">
        <v>1</v>
      </c>
      <c r="M66" s="15">
        <v>9.3375E-2</v>
      </c>
      <c r="N66" s="46">
        <f t="shared" si="1"/>
        <v>9.3375E-2</v>
      </c>
      <c r="O66" s="14"/>
    </row>
    <row r="67" spans="1:15" x14ac:dyDescent="0.25">
      <c r="A67" s="1"/>
      <c r="B67" s="17">
        <f t="shared" si="0"/>
        <v>60</v>
      </c>
      <c r="C67" s="22" t="s">
        <v>25</v>
      </c>
      <c r="D67" s="19" t="s">
        <v>89</v>
      </c>
      <c r="E67" s="19" t="s">
        <v>158</v>
      </c>
      <c r="F67" s="19" t="s">
        <v>201</v>
      </c>
      <c r="G67" s="19" t="s">
        <v>255</v>
      </c>
      <c r="H67" s="19" t="s">
        <v>288</v>
      </c>
      <c r="I67" s="19"/>
      <c r="J67" s="19" t="s">
        <v>342</v>
      </c>
      <c r="K67" s="14" t="s">
        <v>389</v>
      </c>
      <c r="L67" s="19">
        <v>1</v>
      </c>
      <c r="M67" s="20">
        <v>1.111275</v>
      </c>
      <c r="N67" s="46">
        <f t="shared" si="1"/>
        <v>1.111275</v>
      </c>
      <c r="O67" s="19"/>
    </row>
    <row r="68" spans="1:15" x14ac:dyDescent="0.25">
      <c r="A68" s="1"/>
      <c r="B68" s="16">
        <f>ROW(B68) - ROW($B$7)</f>
        <v>61</v>
      </c>
      <c r="C68" s="21" t="s">
        <v>25</v>
      </c>
      <c r="D68" s="14" t="s">
        <v>90</v>
      </c>
      <c r="E68" s="14" t="s">
        <v>159</v>
      </c>
      <c r="F68" s="14" t="s">
        <v>202</v>
      </c>
      <c r="G68" s="14" t="s">
        <v>256</v>
      </c>
      <c r="H68" s="14" t="s">
        <v>289</v>
      </c>
      <c r="I68" s="14"/>
      <c r="J68" s="14" t="s">
        <v>343</v>
      </c>
      <c r="K68" s="14" t="s">
        <v>389</v>
      </c>
      <c r="L68" s="14">
        <v>1</v>
      </c>
      <c r="M68" s="15">
        <v>0.38632499999999997</v>
      </c>
      <c r="N68" s="46">
        <f t="shared" si="1"/>
        <v>0.38632499999999997</v>
      </c>
      <c r="O68" s="14"/>
    </row>
    <row r="69" spans="1:15" x14ac:dyDescent="0.25">
      <c r="A69" s="1"/>
      <c r="B69" s="17">
        <f t="shared" si="0"/>
        <v>62</v>
      </c>
      <c r="C69" s="22" t="s">
        <v>26</v>
      </c>
      <c r="D69" s="19" t="s">
        <v>91</v>
      </c>
      <c r="E69" s="19" t="s">
        <v>160</v>
      </c>
      <c r="F69" s="19" t="s">
        <v>203</v>
      </c>
      <c r="G69" s="19" t="s">
        <v>257</v>
      </c>
      <c r="H69" s="19" t="s">
        <v>290</v>
      </c>
      <c r="I69" s="19"/>
      <c r="J69" s="19" t="s">
        <v>344</v>
      </c>
      <c r="K69" s="14" t="s">
        <v>389</v>
      </c>
      <c r="L69" s="19">
        <v>1</v>
      </c>
      <c r="M69" s="20">
        <v>9.7967250000000003</v>
      </c>
      <c r="N69" s="46">
        <f t="shared" si="1"/>
        <v>9.7967250000000003</v>
      </c>
      <c r="O69" s="19"/>
    </row>
    <row r="70" spans="1:15" x14ac:dyDescent="0.25">
      <c r="A70" s="1"/>
      <c r="B70" s="16">
        <f>ROW(B70) - ROW($B$7)</f>
        <v>63</v>
      </c>
      <c r="C70" s="21" t="s">
        <v>25</v>
      </c>
      <c r="D70" s="14" t="s">
        <v>92</v>
      </c>
      <c r="E70" s="14" t="s">
        <v>161</v>
      </c>
      <c r="F70" s="14" t="s">
        <v>204</v>
      </c>
      <c r="G70" s="14" t="s">
        <v>258</v>
      </c>
      <c r="H70" s="14" t="s">
        <v>291</v>
      </c>
      <c r="I70" s="14"/>
      <c r="J70" s="14" t="s">
        <v>345</v>
      </c>
      <c r="K70" s="14" t="s">
        <v>389</v>
      </c>
      <c r="L70" s="14">
        <v>1</v>
      </c>
      <c r="M70" s="15">
        <v>9.018675</v>
      </c>
      <c r="N70" s="46">
        <f t="shared" si="1"/>
        <v>9.018675</v>
      </c>
      <c r="O70" s="14"/>
    </row>
    <row r="71" spans="1:15" ht="24" x14ac:dyDescent="0.25">
      <c r="A71" s="1"/>
      <c r="B71" s="17">
        <f t="shared" si="0"/>
        <v>64</v>
      </c>
      <c r="C71" s="22" t="s">
        <v>27</v>
      </c>
      <c r="D71" s="19" t="s">
        <v>93</v>
      </c>
      <c r="E71" s="19" t="s">
        <v>162</v>
      </c>
      <c r="F71" s="19" t="s">
        <v>205</v>
      </c>
      <c r="G71" s="19" t="s">
        <v>259</v>
      </c>
      <c r="H71" s="19" t="s">
        <v>292</v>
      </c>
      <c r="I71" s="19"/>
      <c r="J71" s="19" t="s">
        <v>346</v>
      </c>
      <c r="K71" s="14" t="s">
        <v>389</v>
      </c>
      <c r="L71" s="19">
        <v>4</v>
      </c>
      <c r="M71" s="20">
        <v>1.8424125</v>
      </c>
      <c r="N71" s="46">
        <f t="shared" si="1"/>
        <v>7.36965</v>
      </c>
      <c r="O71" s="19"/>
    </row>
    <row r="72" spans="1:15" x14ac:dyDescent="0.25">
      <c r="A72" s="1"/>
      <c r="B72" s="16">
        <f>ROW(B72) - ROW($B$7)</f>
        <v>65</v>
      </c>
      <c r="C72" s="21" t="s">
        <v>25</v>
      </c>
      <c r="D72" s="14" t="s">
        <v>94</v>
      </c>
      <c r="E72" s="14" t="s">
        <v>163</v>
      </c>
      <c r="F72" s="14" t="s">
        <v>206</v>
      </c>
      <c r="G72" s="14" t="s">
        <v>260</v>
      </c>
      <c r="H72" s="14" t="s">
        <v>288</v>
      </c>
      <c r="I72" s="14"/>
      <c r="J72" s="14" t="s">
        <v>347</v>
      </c>
      <c r="K72" s="14" t="s">
        <v>389</v>
      </c>
      <c r="L72" s="14">
        <v>1</v>
      </c>
      <c r="M72" s="15">
        <v>0.48060000000000003</v>
      </c>
      <c r="N72" s="46">
        <f t="shared" si="1"/>
        <v>0.48060000000000003</v>
      </c>
      <c r="O72" s="14"/>
    </row>
    <row r="73" spans="1:15" x14ac:dyDescent="0.25">
      <c r="A73" s="1"/>
      <c r="B73" s="17">
        <f t="shared" si="0"/>
        <v>66</v>
      </c>
      <c r="C73" s="22" t="s">
        <v>25</v>
      </c>
      <c r="D73" s="19" t="s">
        <v>95</v>
      </c>
      <c r="E73" s="19" t="s">
        <v>164</v>
      </c>
      <c r="F73" s="19" t="s">
        <v>207</v>
      </c>
      <c r="G73" s="19" t="s">
        <v>261</v>
      </c>
      <c r="H73" s="19" t="s">
        <v>288</v>
      </c>
      <c r="I73" s="19"/>
      <c r="J73" s="19" t="s">
        <v>348</v>
      </c>
      <c r="K73" s="14" t="s">
        <v>389</v>
      </c>
      <c r="L73" s="19">
        <v>1</v>
      </c>
      <c r="M73" s="20">
        <v>1.1843999999999999</v>
      </c>
      <c r="N73" s="46">
        <f t="shared" ref="N73:N77" si="2">M73*L73</f>
        <v>1.1843999999999999</v>
      </c>
      <c r="O73" s="19"/>
    </row>
    <row r="74" spans="1:15" x14ac:dyDescent="0.25">
      <c r="A74" s="1"/>
      <c r="B74" s="16">
        <f>ROW(B74) - ROW($B$7)</f>
        <v>67</v>
      </c>
      <c r="C74" s="21" t="s">
        <v>28</v>
      </c>
      <c r="D74" s="14" t="s">
        <v>96</v>
      </c>
      <c r="E74" s="14" t="s">
        <v>165</v>
      </c>
      <c r="F74" s="14" t="s">
        <v>208</v>
      </c>
      <c r="G74" s="14" t="s">
        <v>262</v>
      </c>
      <c r="H74" s="14" t="s">
        <v>293</v>
      </c>
      <c r="I74" s="14"/>
      <c r="J74" s="14" t="s">
        <v>349</v>
      </c>
      <c r="K74" s="14" t="s">
        <v>389</v>
      </c>
      <c r="L74" s="14">
        <v>1</v>
      </c>
      <c r="M74" s="15">
        <v>0.67342500000000005</v>
      </c>
      <c r="N74" s="46">
        <f t="shared" si="2"/>
        <v>0.67342500000000005</v>
      </c>
      <c r="O74" s="14"/>
    </row>
    <row r="75" spans="1:15" x14ac:dyDescent="0.25">
      <c r="A75" s="1"/>
      <c r="B75" s="17">
        <f t="shared" si="0"/>
        <v>68</v>
      </c>
      <c r="C75" s="22" t="s">
        <v>25</v>
      </c>
      <c r="D75" s="19" t="s">
        <v>97</v>
      </c>
      <c r="E75" s="19" t="s">
        <v>166</v>
      </c>
      <c r="F75" s="19" t="s">
        <v>408</v>
      </c>
      <c r="G75" s="19" t="s">
        <v>209</v>
      </c>
      <c r="H75" s="19" t="s">
        <v>288</v>
      </c>
      <c r="I75" s="19"/>
      <c r="J75" s="19" t="s">
        <v>387</v>
      </c>
      <c r="K75" s="14" t="s">
        <v>389</v>
      </c>
      <c r="L75" s="19">
        <v>2</v>
      </c>
      <c r="M75" s="20">
        <v>0.74317499999999992</v>
      </c>
      <c r="N75" s="46">
        <f t="shared" si="2"/>
        <v>1.4863499999999998</v>
      </c>
      <c r="O75" s="19"/>
    </row>
    <row r="76" spans="1:15" ht="94.5" x14ac:dyDescent="0.25">
      <c r="A76" s="1"/>
      <c r="B76" s="17">
        <f t="shared" si="0"/>
        <v>69</v>
      </c>
      <c r="C76" s="22" t="s">
        <v>409</v>
      </c>
      <c r="D76" s="19" t="s">
        <v>389</v>
      </c>
      <c r="E76" s="19" t="s">
        <v>412</v>
      </c>
      <c r="F76" s="19" t="s">
        <v>389</v>
      </c>
      <c r="G76" s="19" t="s">
        <v>413</v>
      </c>
      <c r="H76" s="19" t="s">
        <v>414</v>
      </c>
      <c r="I76" s="19"/>
      <c r="J76" s="19" t="s">
        <v>389</v>
      </c>
      <c r="K76" s="14" t="s">
        <v>389</v>
      </c>
      <c r="L76" s="19">
        <v>1</v>
      </c>
      <c r="M76" s="20">
        <v>127.46</v>
      </c>
      <c r="N76" s="46">
        <f t="shared" si="2"/>
        <v>127.46</v>
      </c>
      <c r="O76" s="45" t="s">
        <v>415</v>
      </c>
    </row>
    <row r="77" spans="1:15" ht="48.75" thickBot="1" x14ac:dyDescent="0.3">
      <c r="A77" s="1"/>
      <c r="B77" s="17">
        <f t="shared" si="0"/>
        <v>70</v>
      </c>
      <c r="C77" s="22" t="s">
        <v>409</v>
      </c>
      <c r="D77" s="19" t="s">
        <v>389</v>
      </c>
      <c r="E77" s="19" t="s">
        <v>410</v>
      </c>
      <c r="F77" s="19" t="s">
        <v>389</v>
      </c>
      <c r="G77" s="19" t="s">
        <v>411</v>
      </c>
      <c r="H77" s="19"/>
      <c r="I77" s="19"/>
      <c r="J77" s="19" t="s">
        <v>389</v>
      </c>
      <c r="K77" s="14" t="s">
        <v>389</v>
      </c>
      <c r="L77" s="19">
        <v>1</v>
      </c>
      <c r="M77" s="20">
        <v>7.01</v>
      </c>
      <c r="N77" s="46">
        <f t="shared" si="2"/>
        <v>7.01</v>
      </c>
      <c r="O77" s="19"/>
    </row>
    <row r="78" spans="1:15" ht="19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44"/>
      <c r="N78" s="18">
        <f>SUM(N8:N77)</f>
        <v>259.62174999999996</v>
      </c>
      <c r="O78" s="1"/>
    </row>
    <row r="99" spans="4:6" x14ac:dyDescent="0.25">
      <c r="D99" s="10"/>
      <c r="E99" s="10"/>
      <c r="F99" s="10"/>
    </row>
    <row r="100" spans="4:6" x14ac:dyDescent="0.25">
      <c r="D100" s="10"/>
      <c r="E100" s="10"/>
      <c r="F100" s="10"/>
    </row>
    <row r="101" spans="4:6" x14ac:dyDescent="0.25">
      <c r="D101" s="10"/>
      <c r="E101" s="10"/>
      <c r="F101" s="10"/>
    </row>
    <row r="102" spans="4:6" x14ac:dyDescent="0.25">
      <c r="D102" s="10"/>
      <c r="E102" s="10"/>
      <c r="F102" s="10"/>
    </row>
    <row r="103" spans="4:6" x14ac:dyDescent="0.25">
      <c r="D103" s="10"/>
      <c r="E103" s="10"/>
      <c r="F103" s="10"/>
    </row>
    <row r="104" spans="4:6" x14ac:dyDescent="0.25">
      <c r="D104" s="10"/>
      <c r="E104" s="10"/>
      <c r="F104" s="10"/>
    </row>
    <row r="105" spans="4:6" x14ac:dyDescent="0.25">
      <c r="D105" s="10"/>
      <c r="E105" s="10"/>
      <c r="F105" s="10"/>
    </row>
    <row r="106" spans="4:6" x14ac:dyDescent="0.25">
      <c r="D106" s="10"/>
      <c r="E106" s="10"/>
      <c r="F106" s="10"/>
    </row>
    <row r="107" spans="4:6" x14ac:dyDescent="0.25">
      <c r="D107" s="10"/>
      <c r="E107" s="10"/>
      <c r="F107" s="10"/>
    </row>
    <row r="108" spans="4:6" x14ac:dyDescent="0.25">
      <c r="D108" s="10"/>
      <c r="E108" s="10"/>
      <c r="F108" s="10"/>
    </row>
    <row r="109" spans="4:6" x14ac:dyDescent="0.25">
      <c r="D109" s="10"/>
      <c r="E109" s="10"/>
      <c r="F109" s="10"/>
    </row>
    <row r="110" spans="4:6" x14ac:dyDescent="0.25">
      <c r="D110" s="10"/>
      <c r="E110" s="10"/>
      <c r="F110" s="10"/>
    </row>
    <row r="111" spans="4:6" x14ac:dyDescent="0.25">
      <c r="D111" s="10"/>
      <c r="E111" s="10"/>
      <c r="F111" s="10"/>
    </row>
    <row r="112" spans="4:6" x14ac:dyDescent="0.25">
      <c r="D112" s="10"/>
      <c r="E112" s="10"/>
      <c r="F112" s="10"/>
    </row>
    <row r="113" spans="4:6" x14ac:dyDescent="0.25">
      <c r="D113" s="10"/>
      <c r="E113" s="10"/>
      <c r="F113" s="10"/>
    </row>
    <row r="114" spans="4:6" x14ac:dyDescent="0.25">
      <c r="D114" s="10"/>
      <c r="E114" s="10"/>
      <c r="F114" s="10"/>
    </row>
    <row r="115" spans="4:6" x14ac:dyDescent="0.25">
      <c r="D115" s="10"/>
      <c r="E115" s="10"/>
      <c r="F115" s="10"/>
    </row>
    <row r="116" spans="4:6" x14ac:dyDescent="0.25">
      <c r="D116" s="10"/>
      <c r="E116" s="10"/>
      <c r="F116" s="10"/>
    </row>
    <row r="117" spans="4:6" x14ac:dyDescent="0.25">
      <c r="D117" s="10"/>
      <c r="E117" s="10"/>
      <c r="F117" s="10"/>
    </row>
    <row r="118" spans="4:6" x14ac:dyDescent="0.25">
      <c r="D118" s="10"/>
      <c r="E118" s="10"/>
      <c r="F118" s="10"/>
    </row>
    <row r="119" spans="4:6" x14ac:dyDescent="0.25">
      <c r="D119" s="10"/>
      <c r="E119" s="10"/>
      <c r="F119" s="10"/>
    </row>
    <row r="120" spans="4:6" x14ac:dyDescent="0.25">
      <c r="D120" s="10"/>
      <c r="E120" s="10"/>
      <c r="F120" s="10"/>
    </row>
    <row r="121" spans="4:6" x14ac:dyDescent="0.25">
      <c r="D121" s="10"/>
      <c r="E121" s="10"/>
      <c r="F121" s="10"/>
    </row>
    <row r="122" spans="4:6" x14ac:dyDescent="0.25">
      <c r="D122" s="10"/>
      <c r="E122" s="10"/>
      <c r="F122" s="10"/>
    </row>
    <row r="123" spans="4:6" x14ac:dyDescent="0.25">
      <c r="D123" s="10"/>
      <c r="E123" s="10"/>
      <c r="F123" s="10"/>
    </row>
    <row r="124" spans="4:6" x14ac:dyDescent="0.25">
      <c r="D124" s="10"/>
      <c r="E124" s="10"/>
      <c r="F124" s="10"/>
    </row>
    <row r="125" spans="4:6" x14ac:dyDescent="0.25">
      <c r="D125" s="10"/>
      <c r="E125" s="10"/>
      <c r="F125" s="10"/>
    </row>
    <row r="126" spans="4:6" x14ac:dyDescent="0.25">
      <c r="D126" s="10"/>
      <c r="E126" s="10"/>
      <c r="F126" s="10"/>
    </row>
    <row r="127" spans="4:6" x14ac:dyDescent="0.25">
      <c r="D127" s="10"/>
      <c r="E127" s="10"/>
      <c r="F127" s="10"/>
    </row>
    <row r="128" spans="4:6" x14ac:dyDescent="0.25">
      <c r="D128" s="10"/>
      <c r="E128" s="10"/>
      <c r="F128" s="10"/>
    </row>
    <row r="129" spans="4:6" x14ac:dyDescent="0.25">
      <c r="D129" s="10"/>
      <c r="E129" s="10"/>
      <c r="F129" s="10"/>
    </row>
    <row r="130" spans="4:6" x14ac:dyDescent="0.25">
      <c r="D130" s="10"/>
      <c r="E130" s="10"/>
      <c r="F130" s="10"/>
    </row>
    <row r="131" spans="4:6" x14ac:dyDescent="0.25">
      <c r="D131" s="10"/>
      <c r="E131" s="10"/>
      <c r="F131" s="10"/>
    </row>
    <row r="132" spans="4:6" x14ac:dyDescent="0.25">
      <c r="D132" s="10"/>
      <c r="E132" s="10"/>
      <c r="F132" s="10"/>
    </row>
    <row r="133" spans="4:6" x14ac:dyDescent="0.25">
      <c r="D133" s="10"/>
      <c r="E133" s="10"/>
      <c r="F133" s="10"/>
    </row>
    <row r="134" spans="4:6" x14ac:dyDescent="0.25">
      <c r="D134" s="10"/>
      <c r="E134" s="10"/>
      <c r="F134" s="10"/>
    </row>
    <row r="135" spans="4:6" x14ac:dyDescent="0.25">
      <c r="D135" s="10"/>
      <c r="E135" s="10"/>
      <c r="F135" s="10"/>
    </row>
    <row r="136" spans="4:6" x14ac:dyDescent="0.25">
      <c r="D136" s="10"/>
      <c r="E136" s="10"/>
      <c r="F136" s="10"/>
    </row>
    <row r="137" spans="4:6" x14ac:dyDescent="0.25">
      <c r="D137" s="10"/>
      <c r="E137" s="10"/>
      <c r="F137" s="10"/>
    </row>
    <row r="138" spans="4:6" x14ac:dyDescent="0.25">
      <c r="D138" s="10"/>
      <c r="E138" s="10"/>
      <c r="F138" s="10"/>
    </row>
    <row r="139" spans="4:6" x14ac:dyDescent="0.25">
      <c r="D139" s="10"/>
      <c r="E139" s="10"/>
      <c r="F139" s="10"/>
    </row>
    <row r="140" spans="4:6" x14ac:dyDescent="0.25">
      <c r="D140" s="10"/>
      <c r="E140" s="10"/>
      <c r="F140" s="10"/>
    </row>
    <row r="141" spans="4:6" x14ac:dyDescent="0.25">
      <c r="D141" s="10"/>
      <c r="E141" s="10"/>
      <c r="F141" s="10"/>
    </row>
    <row r="142" spans="4:6" x14ac:dyDescent="0.25">
      <c r="D142" s="10"/>
      <c r="E142" s="10"/>
      <c r="F142" s="10"/>
    </row>
    <row r="143" spans="4:6" x14ac:dyDescent="0.25">
      <c r="D143" s="10"/>
      <c r="E143" s="10"/>
      <c r="F143" s="10"/>
    </row>
    <row r="144" spans="4:6" x14ac:dyDescent="0.25">
      <c r="D144" s="10"/>
      <c r="E144" s="10"/>
      <c r="F144" s="10"/>
    </row>
    <row r="145" spans="4:6" x14ac:dyDescent="0.25">
      <c r="D145" s="10"/>
      <c r="E145" s="10"/>
      <c r="F145" s="10"/>
    </row>
    <row r="146" spans="4:6" x14ac:dyDescent="0.25">
      <c r="D146" s="10"/>
      <c r="E146" s="10"/>
      <c r="F146" s="10"/>
    </row>
    <row r="147" spans="4:6" x14ac:dyDescent="0.25">
      <c r="D147" s="10"/>
      <c r="E147" s="10"/>
      <c r="F147" s="10"/>
    </row>
    <row r="148" spans="4:6" x14ac:dyDescent="0.25">
      <c r="D148" s="10"/>
      <c r="E148" s="10"/>
      <c r="F148" s="10"/>
    </row>
    <row r="149" spans="4:6" x14ac:dyDescent="0.25">
      <c r="D149" s="10"/>
      <c r="E149" s="10"/>
      <c r="F149" s="10"/>
    </row>
    <row r="150" spans="4:6" x14ac:dyDescent="0.25">
      <c r="D150" s="10"/>
      <c r="E150" s="10"/>
      <c r="F150" s="10"/>
    </row>
    <row r="151" spans="4:6" x14ac:dyDescent="0.25">
      <c r="D151" s="10"/>
      <c r="E151" s="10"/>
      <c r="F151" s="10"/>
    </row>
    <row r="152" spans="4:6" x14ac:dyDescent="0.25">
      <c r="D152" s="10"/>
      <c r="E152" s="10"/>
      <c r="F152" s="10"/>
    </row>
    <row r="153" spans="4:6" x14ac:dyDescent="0.25">
      <c r="D153" s="10"/>
      <c r="E153" s="10"/>
      <c r="F153" s="10"/>
    </row>
    <row r="154" spans="4:6" x14ac:dyDescent="0.25">
      <c r="D154" s="10"/>
      <c r="E154" s="10"/>
      <c r="F154" s="10"/>
    </row>
    <row r="155" spans="4:6" x14ac:dyDescent="0.25">
      <c r="D155" s="10"/>
      <c r="E155" s="10"/>
      <c r="F155" s="10"/>
    </row>
    <row r="156" spans="4:6" x14ac:dyDescent="0.25">
      <c r="D156" s="10"/>
      <c r="E156" s="10"/>
      <c r="F156" s="10"/>
    </row>
    <row r="157" spans="4:6" x14ac:dyDescent="0.25">
      <c r="D157" s="10"/>
      <c r="E157" s="10"/>
      <c r="F157" s="10"/>
    </row>
    <row r="158" spans="4:6" x14ac:dyDescent="0.25">
      <c r="D158" s="10"/>
      <c r="E158" s="10"/>
      <c r="F158" s="10"/>
    </row>
    <row r="159" spans="4:6" x14ac:dyDescent="0.25">
      <c r="D159" s="10"/>
      <c r="E159" s="10"/>
      <c r="F159" s="10"/>
    </row>
    <row r="160" spans="4:6" x14ac:dyDescent="0.25">
      <c r="D160" s="10"/>
      <c r="E160" s="10"/>
      <c r="F160" s="10"/>
    </row>
    <row r="161" spans="4:6" x14ac:dyDescent="0.25">
      <c r="D161" s="10"/>
      <c r="E161" s="10"/>
      <c r="F161" s="10"/>
    </row>
    <row r="162" spans="4:6" x14ac:dyDescent="0.25">
      <c r="D162" s="10"/>
      <c r="E162" s="10"/>
      <c r="F162" s="10"/>
    </row>
    <row r="163" spans="4:6" x14ac:dyDescent="0.25">
      <c r="D163" s="10"/>
      <c r="E163" s="10"/>
      <c r="F163" s="10"/>
    </row>
    <row r="164" spans="4:6" x14ac:dyDescent="0.25">
      <c r="D164" s="10"/>
      <c r="E164" s="10"/>
      <c r="F164" s="10"/>
    </row>
    <row r="165" spans="4:6" x14ac:dyDescent="0.25">
      <c r="D165" s="10"/>
      <c r="E165" s="10"/>
      <c r="F165" s="10"/>
    </row>
    <row r="166" spans="4:6" x14ac:dyDescent="0.25">
      <c r="D166" s="10"/>
      <c r="E166" s="10"/>
      <c r="F166" s="10"/>
    </row>
    <row r="167" spans="4:6" x14ac:dyDescent="0.25">
      <c r="D167" s="10"/>
      <c r="E167" s="10"/>
      <c r="F167" s="10"/>
    </row>
    <row r="168" spans="4:6" x14ac:dyDescent="0.25">
      <c r="D168" s="10"/>
      <c r="E168" s="10"/>
      <c r="F168" s="10"/>
    </row>
    <row r="169" spans="4:6" x14ac:dyDescent="0.25">
      <c r="D169" s="10"/>
      <c r="E169" s="10"/>
      <c r="F169" s="10"/>
    </row>
  </sheetData>
  <mergeCells count="1">
    <mergeCell ref="K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2024-07-04T06:18:00Z</dcterms:modified>
</cp:coreProperties>
</file>