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oelmcdermott-dbsdesign-hw\Design-Files\DBS-Stepper-Module\BOM\"/>
    </mc:Choice>
  </mc:AlternateContent>
  <bookViews>
    <workbookView xWindow="28680" yWindow="-120" windowWidth="29040" windowHeight="15840"/>
  </bookViews>
  <sheets>
    <sheet name="10 Boards" sheetId="1" r:id="rId1"/>
  </sheets>
  <calcPr calcId="162913"/>
</workbook>
</file>

<file path=xl/calcChain.xml><?xml version="1.0" encoding="utf-8"?>
<calcChain xmlns="http://schemas.openxmlformats.org/spreadsheetml/2006/main">
  <c r="Q78" i="1" l="1"/>
  <c r="Q76" i="1"/>
  <c r="M76" i="1"/>
  <c r="B76" i="1"/>
  <c r="Q77" i="1" l="1"/>
  <c r="M77" i="1"/>
  <c r="B7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8" i="1"/>
  <c r="Q75" i="1" l="1"/>
  <c r="B75" i="1"/>
  <c r="Q74" i="1"/>
  <c r="B74" i="1"/>
  <c r="Q73" i="1"/>
  <c r="B73" i="1"/>
  <c r="Q72" i="1"/>
  <c r="B72" i="1"/>
  <c r="Q71" i="1"/>
  <c r="B71" i="1"/>
  <c r="Q70" i="1"/>
  <c r="B70" i="1"/>
  <c r="Q69" i="1"/>
  <c r="B69" i="1"/>
  <c r="Q68" i="1"/>
  <c r="B68" i="1"/>
  <c r="Q67" i="1"/>
  <c r="B67" i="1"/>
  <c r="Q66" i="1"/>
  <c r="B66" i="1"/>
  <c r="Q65" i="1"/>
  <c r="B65" i="1"/>
  <c r="Q64" i="1"/>
  <c r="B64" i="1"/>
  <c r="Q63" i="1"/>
  <c r="B63" i="1"/>
  <c r="Q62" i="1"/>
  <c r="B62" i="1"/>
  <c r="Q61" i="1"/>
  <c r="B61" i="1"/>
  <c r="Q60" i="1"/>
  <c r="B60" i="1"/>
  <c r="Q59" i="1"/>
  <c r="B59" i="1"/>
  <c r="Q58" i="1"/>
  <c r="B58" i="1"/>
  <c r="Q57" i="1"/>
  <c r="B57" i="1"/>
  <c r="Q56" i="1"/>
  <c r="B56" i="1"/>
  <c r="Q55" i="1"/>
  <c r="B55" i="1"/>
  <c r="Q54" i="1"/>
  <c r="B54" i="1"/>
  <c r="Q53" i="1"/>
  <c r="B53" i="1"/>
  <c r="Q52" i="1"/>
  <c r="B52" i="1"/>
  <c r="Q51" i="1"/>
  <c r="B51" i="1"/>
  <c r="Q50" i="1"/>
  <c r="B50" i="1"/>
  <c r="Q49" i="1"/>
  <c r="B49" i="1"/>
  <c r="Q48" i="1"/>
  <c r="B48" i="1"/>
  <c r="Q47" i="1"/>
  <c r="B47" i="1"/>
  <c r="Q46" i="1"/>
  <c r="B46" i="1"/>
  <c r="Q45" i="1"/>
  <c r="B45" i="1"/>
  <c r="B44" i="1"/>
  <c r="Q43" i="1"/>
  <c r="B43" i="1"/>
  <c r="Q42" i="1"/>
  <c r="B42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Q79" i="1" s="1"/>
  <c r="B9" i="1"/>
  <c r="B8" i="1"/>
</calcChain>
</file>

<file path=xl/sharedStrings.xml><?xml version="1.0" encoding="utf-8"?>
<sst xmlns="http://schemas.openxmlformats.org/spreadsheetml/2006/main" count="704" uniqueCount="426">
  <si>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</si>
  <si>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</si>
  <si>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</si>
  <si>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</si>
  <si>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</si>
  <si>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</si>
  <si>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</si>
  <si>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Capacitors</t>
  </si>
  <si>
    <t>(TVS/ESD)</t>
  </si>
  <si>
    <t>Diode</t>
  </si>
  <si>
    <t>C693487</t>
  </si>
  <si>
    <t>Connector</t>
  </si>
  <si>
    <t>Terminal Block</t>
  </si>
  <si>
    <t>Male Header</t>
  </si>
  <si>
    <t>R/A Male Header</t>
  </si>
  <si>
    <t>Relay</t>
  </si>
  <si>
    <t>Inductor</t>
  </si>
  <si>
    <t>LED</t>
  </si>
  <si>
    <t>Buzzers</t>
  </si>
  <si>
    <t>Test Point</t>
  </si>
  <si>
    <t>Mosfet</t>
  </si>
  <si>
    <t>Resistor</t>
  </si>
  <si>
    <t>Resistor Current Sense</t>
  </si>
  <si>
    <t>Switch</t>
  </si>
  <si>
    <t>Rotary Encoder</t>
  </si>
  <si>
    <t>Slide Switch</t>
  </si>
  <si>
    <t>Tactile Switch</t>
  </si>
  <si>
    <t>IC</t>
  </si>
  <si>
    <t>Module</t>
  </si>
  <si>
    <t>MOSFET</t>
  </si>
  <si>
    <t>OpAmp</t>
  </si>
  <si>
    <t>Designator</t>
  </si>
  <si>
    <t>C1, C14, C16, C17, C18, C21, C22, C37, C39, C40, C41, C42, C43, C44, C45, C46, C47, C48, C49, C50</t>
  </si>
  <si>
    <t>C2, C3</t>
  </si>
  <si>
    <t>C4</t>
  </si>
  <si>
    <t>C5, C6, C7</t>
  </si>
  <si>
    <t>C8</t>
  </si>
  <si>
    <t>C9, C10, C15</t>
  </si>
  <si>
    <t>C11</t>
  </si>
  <si>
    <t>C12</t>
  </si>
  <si>
    <t>C13, C38</t>
  </si>
  <si>
    <t>C19, C20</t>
  </si>
  <si>
    <t>C23, C24</t>
  </si>
  <si>
    <t>C25</t>
  </si>
  <si>
    <t>C26, C27, C29, C30</t>
  </si>
  <si>
    <t>C28, C31, C32, C33</t>
  </si>
  <si>
    <t>C34, C35</t>
  </si>
  <si>
    <t>C36</t>
  </si>
  <si>
    <t>D1</t>
  </si>
  <si>
    <t>D2</t>
  </si>
  <si>
    <t>D3</t>
  </si>
  <si>
    <t>D4</t>
  </si>
  <si>
    <t>D5, D6</t>
  </si>
  <si>
    <t>J1</t>
  </si>
  <si>
    <t>J2</t>
  </si>
  <si>
    <t>J3, J8</t>
  </si>
  <si>
    <t>J4</t>
  </si>
  <si>
    <t>J5</t>
  </si>
  <si>
    <t>J6</t>
  </si>
  <si>
    <t>J7</t>
  </si>
  <si>
    <t>J9</t>
  </si>
  <si>
    <t>J10</t>
  </si>
  <si>
    <t>K1</t>
  </si>
  <si>
    <t>L1</t>
  </si>
  <si>
    <t>LED1, LED6</t>
  </si>
  <si>
    <t>LED2, LED4</t>
  </si>
  <si>
    <t>LED3, LED5</t>
  </si>
  <si>
    <t>LS1</t>
  </si>
  <si>
    <t>P1, P2, P3, P4</t>
  </si>
  <si>
    <t>Q1, Q2</t>
  </si>
  <si>
    <t>R1</t>
  </si>
  <si>
    <t>R2</t>
  </si>
  <si>
    <t>R3</t>
  </si>
  <si>
    <t>R4, R25, R27, R28, R29, R30, R31, R37, R40, R41, R46, R47</t>
  </si>
  <si>
    <t>R5, R6</t>
  </si>
  <si>
    <t>R7, R8, R9, R10, R13, R14, R15, R16</t>
  </si>
  <si>
    <t>R11, R12</t>
  </si>
  <si>
    <t>R17, R18, R22, R23</t>
  </si>
  <si>
    <t>R19</t>
  </si>
  <si>
    <t>R20, R21</t>
  </si>
  <si>
    <t>R24, R26</t>
  </si>
  <si>
    <t>R32, R33, R35, R36</t>
  </si>
  <si>
    <t>R34</t>
  </si>
  <si>
    <t>R38, R42, R44</t>
  </si>
  <si>
    <t>R39, R43</t>
  </si>
  <si>
    <t>R45</t>
  </si>
  <si>
    <t>SW1, SW2</t>
  </si>
  <si>
    <t>SW3</t>
  </si>
  <si>
    <t>SW4</t>
  </si>
  <si>
    <t>SW5</t>
  </si>
  <si>
    <t>SW6</t>
  </si>
  <si>
    <t>U1</t>
  </si>
  <si>
    <t>U2</t>
  </si>
  <si>
    <t>U3</t>
  </si>
  <si>
    <t>U4</t>
  </si>
  <si>
    <t>U5, U6, U7, U8</t>
  </si>
  <si>
    <t>U9</t>
  </si>
  <si>
    <t>U10</t>
  </si>
  <si>
    <t>U11</t>
  </si>
  <si>
    <t>U12, U13</t>
  </si>
  <si>
    <t>Description</t>
  </si>
  <si>
    <t>CAP CER 0.1UF 50V X5R 0603</t>
  </si>
  <si>
    <t>CAP CER 10UF 50V X5R 1206</t>
  </si>
  <si>
    <t>CAP CER 390PF 50V C0G 0402</t>
  </si>
  <si>
    <t>CAP CER 47UF 25V X5R 1206</t>
  </si>
  <si>
    <t>CAP CER 0.047UF 50V X7R 0402</t>
  </si>
  <si>
    <t>CAP CER 1UF 50V X5R 0603</t>
  </si>
  <si>
    <t>CAP CER 4.7UF 16V X5R 0603</t>
  </si>
  <si>
    <t>47uF 50V 66mA@120Hz ±20% SMD,D6.3xL7.7mm Aluminum Electrolytic Capacitors - SMD ROHS</t>
  </si>
  <si>
    <t>CAP CER 22UF 10V X5R 0603</t>
  </si>
  <si>
    <t>100uF 50V ±20% SMD,D6.3xL7.7mm Aluminum Electrolytic Capacitors - SMD ROHS</t>
  </si>
  <si>
    <t>CAP CER 0.47 uF, 50 V, ± 10%, X7R, 0603 [1608 Metric]</t>
  </si>
  <si>
    <t>CAP CER 0.022UF 50V X7R 0603</t>
  </si>
  <si>
    <t>CAP CER 0.22 uF, 50 V, ± 10%, X7R, 0603 [1608 Metric]</t>
  </si>
  <si>
    <t>CAP CER 1nF 100V X7R 0603</t>
  </si>
  <si>
    <t>CAP CER 2.2UF 25V X5R 0603</t>
  </si>
  <si>
    <t>CAP CER 0.47UF 50V X5R 0603</t>
  </si>
  <si>
    <t>DIODE SCHOTTKY 60V 5A SMA</t>
  </si>
  <si>
    <t>20.1A 19.9V 13.3V 12V SMA(DO-214AC) Electrostatic and Surge Protection (TVS/ESD) ROHS</t>
  </si>
  <si>
    <t>DIODE SCHOTTKY 40V 5A SMC</t>
  </si>
  <si>
    <t>TVS DIODE 5VWM 9.2VC SMA</t>
  </si>
  <si>
    <t>DIODE GEN PURP 100V 300MA SOD123</t>
  </si>
  <si>
    <t>1x6P SH 1 1mm 6 SMD,P=1mm Wire To Board / Wire To Wire Connector ROHS</t>
  </si>
  <si>
    <t>1x3P 18A -40℃~+105℃ 250V Black 12~30 Straight pin 5.08mm 2.5 1 3 Plugin,P=5.08mm Screw terminal ROHS</t>
  </si>
  <si>
    <t>Gold 250V 3A Straight Square Pins 2.5mm 4P 260℃ 6mm -40℃~+105℃ 3mm 2.54mm Plugin Black Brass 1x4P Plugin,P=2.54mm Pin Headers ROHS</t>
  </si>
  <si>
    <t>Right-Angle Square Pins 2.5mm 6P 6mm -40℃~+105℃ 2.54mm 双排 Black Brass 2x3P 2.54mm Push-Pull,P=2.54mm Pin Headers ROHS</t>
  </si>
  <si>
    <t>1.5 5mm 14~24 1x1P -40℃~+105℃ 10A 1P 300V Green 1 1 Plugin,P=5mm Spring Clamp System Terminal Block ROHS</t>
  </si>
  <si>
    <t>1x2P 18A -40℃~+105℃ 250V Green 12~30 Straight 5.08mm 2.5 1 2 Plugin,P=5.08mm Screw terminal ROHS</t>
  </si>
  <si>
    <t>DC Power Receptacle Jack 2.5A 2.5mm 6.5mm SMD Power Connectors RoHS</t>
  </si>
  <si>
    <t>1x2P 20A -40℃~+105℃ 300V Gray 12~30 Straight 5.08mm 1~2.5 1 2 Plugin,P=5.08mm Screw terminal ROHS</t>
  </si>
  <si>
    <t>Right-Angle Square Pins 2.5mm 3P 6mm -40℃~+105℃ 2.54mm Plugin Black Brass 1x3P Push-Pull,P=2.54mm Pin Headers ROHS</t>
  </si>
  <si>
    <t>12V SPDT (1 Form C) Plugin,15.2x19mm Power Relays ROHS</t>
  </si>
  <si>
    <t>5.5A 5.6uH Molding Choke ±20% 6.5A SMD,6.6x7mm Power Inductors ROHS</t>
  </si>
  <si>
    <t>620nm~630nm -30℃~+85℃ Red 30° 200mW Plugin,D=3mm Light Emitting Diodes (LED) ROHS</t>
  </si>
  <si>
    <t>515nm~525nm -30℃~+85℃ Emerald 30° 200mW Plugin,D=3mm Light Emitting Diodes (LED) ROHS</t>
  </si>
  <si>
    <t>20mA -40℃~+80℃ 605nm Amber Color 50° 3mm圆形灯头 75mW Plugin,D=3mm Light Emitting Diodes (LED) ROHS</t>
  </si>
  <si>
    <t>80dB Active (driven circuit included) Magnetic 2.7kHz Plugin,D=9mm Buzzers ROHS</t>
  </si>
  <si>
    <t>Test Point ON</t>
  </si>
  <si>
    <t>TRANS NPN 40V 0.6A SMD SOT23-3</t>
  </si>
  <si>
    <t>RES SMD 68K OHM 0.1% 1/10W 0603</t>
  </si>
  <si>
    <t>RES 12K OHM 1% 1/10W 0603</t>
  </si>
  <si>
    <t>RES SMD 45.3KOHM 0.1% 1/16W 0402</t>
  </si>
  <si>
    <t>RES SMD 10K Ohm 1% 1/10W 0603</t>
  </si>
  <si>
    <t>RES 4.7K OHM 1% 1/16W 0402</t>
  </si>
  <si>
    <t>RES 22 OHM 1% 1/10W 0603</t>
  </si>
  <si>
    <t>RES 47K OHM 1% 1/20W 0201</t>
  </si>
  <si>
    <t>RES SMD 47OHM 0.1W 0603</t>
  </si>
  <si>
    <t>RES 2.2 OHM 1% 1/16W 0402</t>
  </si>
  <si>
    <t>RES 0.075 OHM 1% 1W 1206</t>
  </si>
  <si>
    <t>RES 470 OHM 1% 1/10W 0603</t>
  </si>
  <si>
    <t>RES SMD 100K OHM 0.1% 1/10W 0603</t>
  </si>
  <si>
    <t>RES SMD 120 OHM 0.1% 1/10W 0603</t>
  </si>
  <si>
    <t>RES 130 OHM 1% 1/10W 0603</t>
  </si>
  <si>
    <t>RES 15 OHM 1% 1/10W 0603</t>
  </si>
  <si>
    <t>RES SMD 1.2K OHM 1% 1/10W 0603</t>
  </si>
  <si>
    <t>No NO 50mA 4.5mm 100000 260gf 12V -30℃~+85℃ 4.5mm 4.3mm Black Round Button Brick nogging SPST SMD Tactile Switches ROHS</t>
  </si>
  <si>
    <t>ROTARY ENCODER OPTICAL 25PPR</t>
  </si>
  <si>
    <t>Shrouded 5A SPDT 125V 6.3mm 13.5mm 125V 6.6mm 5A PCPin 10000 Rectangular columnar -40℃~+85℃ Black Plugin Slide Switches ROHS</t>
  </si>
  <si>
    <t>Straight 1A SPDT 8.7mm 8.6mm 24V 4.5mm Black PCPin 10000 Rectangular columnar -25℃~+70℃ Plugin Slide Switches ROHS</t>
  </si>
  <si>
    <t>No NO 50mA 100MΩ 100000 Times 12V 130gf@±30gf Brick nogging SPST SMD Tactile Switches ROHS</t>
  </si>
  <si>
    <t>IC REG BUCK ADJUSTABLE 3A 8SOPWR</t>
  </si>
  <si>
    <t>IC REG LINEAR 3.3V 1.2A SOT223</t>
  </si>
  <si>
    <t>SMD,18x25.5mm WiFi Modules ROHS</t>
  </si>
  <si>
    <t>IC MTR DRV BIPOLAR 10-50V 48TQFP</t>
  </si>
  <si>
    <t>MOSFET 2N-CH 60V 9.5A 8SOIC</t>
  </si>
  <si>
    <t>IC TRANSLTR BIDIRECTIONAL 8VSSOP</t>
  </si>
  <si>
    <t>IC TRANSLATOR UNIDIR 14TSSOP</t>
  </si>
  <si>
    <t>SOT-23-5 Precision OpAmps ROHS</t>
  </si>
  <si>
    <t>IC TRNSLTR BIDIRECTIONAL US8</t>
  </si>
  <si>
    <t>Footprint</t>
  </si>
  <si>
    <t>Cap-0603</t>
  </si>
  <si>
    <t>Cap-1206</t>
  </si>
  <si>
    <t>Cap-0402</t>
  </si>
  <si>
    <t>RVT1H470M0607</t>
  </si>
  <si>
    <t>RVT1H101M0607</t>
  </si>
  <si>
    <t>CAP-0603</t>
  </si>
  <si>
    <t>SMA</t>
  </si>
  <si>
    <t>SMA Bi Directional</t>
  </si>
  <si>
    <t>SMC</t>
  </si>
  <si>
    <t>SOD-123</t>
  </si>
  <si>
    <t>DB128L-5.08-3P-BK-S</t>
  </si>
  <si>
    <t>HDR1X4_</t>
  </si>
  <si>
    <t>HDR2X3 (R/A Male)</t>
  </si>
  <si>
    <t>KF236-5.0-1P</t>
  </si>
  <si>
    <t>DB128L-5.08-2P-GN-S</t>
  </si>
  <si>
    <t>DC-005-5A-2.5-SMT</t>
  </si>
  <si>
    <t>DB128L-5.08-2P-GY-S</t>
  </si>
  <si>
    <t>HDR1X3 (R/A Male)</t>
  </si>
  <si>
    <t>HF3FA/012-ZSTF(136)(257)</t>
  </si>
  <si>
    <t>FXL0630-5R6-M</t>
  </si>
  <si>
    <t>TH LED Red 3MM</t>
  </si>
  <si>
    <t>TH LED 3mm_</t>
  </si>
  <si>
    <t>FMB09A12-12V</t>
  </si>
  <si>
    <t>Test-point - 0.5mm</t>
  </si>
  <si>
    <t>SOT-23</t>
  </si>
  <si>
    <t>Res-0603</t>
  </si>
  <si>
    <t>Res-0402</t>
  </si>
  <si>
    <t>Res-0201</t>
  </si>
  <si>
    <t>Res-1206</t>
  </si>
  <si>
    <t>TS-1109S-C-B</t>
  </si>
  <si>
    <t>REC16B25-201-C</t>
  </si>
  <si>
    <t>SS-12D02-G040</t>
  </si>
  <si>
    <t>GT-TC074E-H080-L1</t>
  </si>
  <si>
    <t>8-SO-EP_</t>
  </si>
  <si>
    <t>SOT- 223</t>
  </si>
  <si>
    <t>41-SMD Module</t>
  </si>
  <si>
    <t>48-TQFP-EP(7x7)</t>
  </si>
  <si>
    <t>SOIC-8</t>
  </si>
  <si>
    <t>VSSOP-8(3.1x2.1)</t>
  </si>
  <si>
    <t>14-TSSOP</t>
  </si>
  <si>
    <t>SOT-23-5</t>
  </si>
  <si>
    <t>TXB0102DCUT</t>
  </si>
  <si>
    <t>Manufacturer Part Number</t>
  </si>
  <si>
    <t>CC0603KRX5R9BB104</t>
  </si>
  <si>
    <t>CC1206KKX5R9BB106</t>
  </si>
  <si>
    <t>CGA2B2C0G1H391J050BA</t>
  </si>
  <si>
    <t>GRM31CR61E476ME44L</t>
  </si>
  <si>
    <t>CC0402KRX7R9BB473</t>
  </si>
  <si>
    <t>CL10A105KB8NNNC</t>
  </si>
  <si>
    <t>CC0603KRX5R7BB475</t>
  </si>
  <si>
    <t>CC0603MRX5R6BB226</t>
  </si>
  <si>
    <t>CC0603KRX7R9BB474</t>
  </si>
  <si>
    <t>CC0603KRX7R9BB223</t>
  </si>
  <si>
    <t>CC0603KRX7R9BB224</t>
  </si>
  <si>
    <t>CL10B102KC8NNNC</t>
  </si>
  <si>
    <t>CC0603KRX5R8BB225</t>
  </si>
  <si>
    <t>CC0603KRX5R9BB474</t>
  </si>
  <si>
    <t>SS56</t>
  </si>
  <si>
    <t>SMAJ12CA</t>
  </si>
  <si>
    <t>B540C-13-F</t>
  </si>
  <si>
    <t>SMAJ5.0CA</t>
  </si>
  <si>
    <t>1N4148W-7-F</t>
  </si>
  <si>
    <t>C145963</t>
  </si>
  <si>
    <t>X6511WV-04H-C60D30</t>
  </si>
  <si>
    <t>PZ254R-12-6P</t>
  </si>
  <si>
    <t>PZ254R-11-03P</t>
  </si>
  <si>
    <t>NFD3401URD</t>
  </si>
  <si>
    <t>NFD3401UGD</t>
  </si>
  <si>
    <t>LTL17KFL5D-012A</t>
  </si>
  <si>
    <t>MMBT2222A-7-F</t>
  </si>
  <si>
    <t>RT0603BRD0768KL</t>
  </si>
  <si>
    <t>RC0603FR-0712KL</t>
  </si>
  <si>
    <t>RT0402BRD0745K3L</t>
  </si>
  <si>
    <t>RC0603FR-0710KL</t>
  </si>
  <si>
    <t>RC0402FR-074K7L</t>
  </si>
  <si>
    <t>RC0603FR-0722RL</t>
  </si>
  <si>
    <t>RC0201FR-0747KL</t>
  </si>
  <si>
    <t>RC0603FR-0747RL</t>
  </si>
  <si>
    <t>RC0402FR-072R2L</t>
  </si>
  <si>
    <t>ERJ-8BWFR075V</t>
  </si>
  <si>
    <t>RC0603FR-07470RL</t>
  </si>
  <si>
    <t>RT0603BRD07100KL</t>
  </si>
  <si>
    <t>RT0603BRB07120RL</t>
  </si>
  <si>
    <t>RC0603FR-07130RL</t>
  </si>
  <si>
    <t>RC0603FR-0715RL</t>
  </si>
  <si>
    <t>RC0603FR-071K2L</t>
  </si>
  <si>
    <t>SS-12D11G5R</t>
  </si>
  <si>
    <t>LMR16030SDDAR</t>
  </si>
  <si>
    <t>LDL1117S33R</t>
  </si>
  <si>
    <t>ESP32-S3-WROOM-1-N8R2</t>
  </si>
  <si>
    <t>TMC2160A-TA-T</t>
  </si>
  <si>
    <t>AOSD62666E</t>
  </si>
  <si>
    <t>TXS0102DCUR</t>
  </si>
  <si>
    <t>TXU0304PWR</t>
  </si>
  <si>
    <t>TP5591-TR</t>
  </si>
  <si>
    <t>Manufacturer</t>
  </si>
  <si>
    <t>Yageo</t>
  </si>
  <si>
    <t>TDK</t>
  </si>
  <si>
    <t>Murata</t>
  </si>
  <si>
    <t>Samsung</t>
  </si>
  <si>
    <t>ROQANG</t>
  </si>
  <si>
    <t>MDD</t>
  </si>
  <si>
    <t>Diodes</t>
  </si>
  <si>
    <t>FTR</t>
  </si>
  <si>
    <t>BOOMELE</t>
  </si>
  <si>
    <t>DIBO</t>
  </si>
  <si>
    <t>XKB</t>
  </si>
  <si>
    <t>XFCN</t>
  </si>
  <si>
    <t>Cixi Kefa Elec</t>
  </si>
  <si>
    <t>DORABO</t>
  </si>
  <si>
    <t>XKB Enterprise</t>
  </si>
  <si>
    <t>Hongfa</t>
  </si>
  <si>
    <t>cjiang</t>
  </si>
  <si>
    <t>Foshan NationStar Optoelectronics</t>
  </si>
  <si>
    <t>Lite-On</t>
  </si>
  <si>
    <t>FUET</t>
  </si>
  <si>
    <t>Panasonic</t>
  </si>
  <si>
    <t>XKB Connectivity</t>
  </si>
  <si>
    <t>Nidec Copal</t>
  </si>
  <si>
    <t>G-Switch</t>
  </si>
  <si>
    <t>Texas Instruments</t>
  </si>
  <si>
    <t>STMicroelectronics</t>
  </si>
  <si>
    <t>Espressif Systems</t>
  </si>
  <si>
    <t>Trinamic</t>
  </si>
  <si>
    <t>Alpha &amp; Omega Semiconductor</t>
  </si>
  <si>
    <t>3PEAK</t>
  </si>
  <si>
    <t>LCSC Part Number</t>
  </si>
  <si>
    <t>C110022</t>
  </si>
  <si>
    <t>C100122</t>
  </si>
  <si>
    <t>C403725</t>
  </si>
  <si>
    <t>C272875</t>
  </si>
  <si>
    <t>C15849</t>
  </si>
  <si>
    <t>C72523</t>
  </si>
  <si>
    <t>C3151829</t>
  </si>
  <si>
    <t>C513577</t>
  </si>
  <si>
    <t>C106222</t>
  </si>
  <si>
    <t>C107083</t>
  </si>
  <si>
    <t>C153291</t>
  </si>
  <si>
    <t>C309478</t>
  </si>
  <si>
    <t>C513651</t>
  </si>
  <si>
    <t>C110042</t>
  </si>
  <si>
    <t>C72264</t>
  </si>
  <si>
    <t>C83528</t>
  </si>
  <si>
    <t>C430602</t>
  </si>
  <si>
    <t>C706876</t>
  </si>
  <si>
    <t>C492431</t>
  </si>
  <si>
    <t>C976595</t>
  </si>
  <si>
    <t>C395868</t>
  </si>
  <si>
    <t>C319133</t>
  </si>
  <si>
    <t>C500021</t>
  </si>
  <si>
    <t>C492411</t>
  </si>
  <si>
    <t>C190455</t>
  </si>
  <si>
    <t>C475914</t>
  </si>
  <si>
    <t>C20618148</t>
  </si>
  <si>
    <t>C20618151</t>
  </si>
  <si>
    <t>C575510</t>
  </si>
  <si>
    <t>C417387</t>
  </si>
  <si>
    <t>C94515</t>
  </si>
  <si>
    <t>C114659</t>
  </si>
  <si>
    <t>C852795</t>
  </si>
  <si>
    <t>C98220</t>
  </si>
  <si>
    <t>C105871</t>
  </si>
  <si>
    <t>C107701</t>
  </si>
  <si>
    <t>C138139</t>
  </si>
  <si>
    <t>C114623</t>
  </si>
  <si>
    <t>C114669</t>
  </si>
  <si>
    <t>C122538</t>
  </si>
  <si>
    <t>C860088</t>
  </si>
  <si>
    <t>C128059</t>
  </si>
  <si>
    <t>C114605</t>
  </si>
  <si>
    <t>C381037</t>
  </si>
  <si>
    <t>C388633</t>
  </si>
  <si>
    <t>C2876023</t>
  </si>
  <si>
    <t>C963229</t>
  </si>
  <si>
    <t>C136648</t>
  </si>
  <si>
    <t>C435835</t>
  </si>
  <si>
    <t>C2913204</t>
  </si>
  <si>
    <t>C465948</t>
  </si>
  <si>
    <t>C541719</t>
  </si>
  <si>
    <t>C53434</t>
  </si>
  <si>
    <t>C4364118</t>
  </si>
  <si>
    <t>C248602</t>
  </si>
  <si>
    <t>100nF</t>
  </si>
  <si>
    <t>10uF</t>
  </si>
  <si>
    <t>390pF</t>
  </si>
  <si>
    <t>47uF</t>
  </si>
  <si>
    <t>47nF</t>
  </si>
  <si>
    <t>1uF</t>
  </si>
  <si>
    <t>4.7uF</t>
  </si>
  <si>
    <t>22uF</t>
  </si>
  <si>
    <t>100uF</t>
  </si>
  <si>
    <t>470nF</t>
  </si>
  <si>
    <t>22nF</t>
  </si>
  <si>
    <t>220nF</t>
  </si>
  <si>
    <t>1nF</t>
  </si>
  <si>
    <t>2.2uF</t>
  </si>
  <si>
    <t>0.47uF</t>
  </si>
  <si>
    <t>5.6uH</t>
  </si>
  <si>
    <t>68K</t>
  </si>
  <si>
    <t>12K</t>
  </si>
  <si>
    <t>45.3k</t>
  </si>
  <si>
    <t>10K</t>
  </si>
  <si>
    <t>4.7K</t>
  </si>
  <si>
    <t>22R</t>
  </si>
  <si>
    <t>47K</t>
  </si>
  <si>
    <t>47R</t>
  </si>
  <si>
    <t>2.2R</t>
  </si>
  <si>
    <t>75mR</t>
  </si>
  <si>
    <t>470R</t>
  </si>
  <si>
    <t>100K</t>
  </si>
  <si>
    <t>120R</t>
  </si>
  <si>
    <t>130R</t>
  </si>
  <si>
    <t>15R</t>
  </si>
  <si>
    <t>1.2K</t>
  </si>
  <si>
    <t>Quantity</t>
  </si>
  <si>
    <t>Alternate Part Number</t>
  </si>
  <si>
    <t>Links</t>
  </si>
  <si>
    <t>Remarks</t>
  </si>
  <si>
    <t>Value</t>
  </si>
  <si>
    <t>MOQ (10 Boards)</t>
  </si>
  <si>
    <t>Unit Cost (10 Boards)</t>
  </si>
  <si>
    <t>Total Cost (10 Boards)</t>
  </si>
  <si>
    <t>Quantity (10 Boards)</t>
  </si>
  <si>
    <t>C65009</t>
  </si>
  <si>
    <t>C2677366</t>
  </si>
  <si>
    <t>C705793</t>
  </si>
  <si>
    <t>-</t>
  </si>
  <si>
    <t>DC Jack</t>
  </si>
  <si>
    <t>Bill of Materials for Project [DBS-Stepper-Module-v1.0]</t>
  </si>
  <si>
    <t>DBS-Stepper-Module-v1.0.</t>
  </si>
  <si>
    <t>CL10A475KO8NNNC</t>
  </si>
  <si>
    <t>C19666</t>
  </si>
  <si>
    <t>LCSC</t>
  </si>
  <si>
    <t>Custom</t>
  </si>
  <si>
    <t>CL10A226MP8NUNE</t>
  </si>
  <si>
    <t>C86295</t>
  </si>
  <si>
    <t>1.0T-6P</t>
  </si>
  <si>
    <t xml:space="preserve">DO NOT MOUNT </t>
  </si>
  <si>
    <t>CC0402JRNPO9BN391</t>
  </si>
  <si>
    <t>C282239</t>
  </si>
  <si>
    <t>AC0402FR-072R2L</t>
  </si>
  <si>
    <t>C226973</t>
  </si>
  <si>
    <t>C2932840</t>
  </si>
  <si>
    <t>HoYH1206-1W-75mR-1%</t>
  </si>
  <si>
    <t>C22796</t>
  </si>
  <si>
    <t>0603WAF1300T5E</t>
  </si>
  <si>
    <t>VSSOP-8-0.5mm</t>
  </si>
  <si>
    <t>Peripheral</t>
  </si>
  <si>
    <t>204 20X4 2004 Parallel IIC I2C PCF8574T Character LCD Module Display Screen LCM English-Japanese w/ LED Backlight for Arduino</t>
  </si>
  <si>
    <t>SLC2004A1-FPW-IIC</t>
  </si>
  <si>
    <t>Aliexpress</t>
  </si>
  <si>
    <t>Chipsmall</t>
  </si>
  <si>
    <t>Controlduino 01M21V00. Wideband lambda sensor control module for Arduino + rpm.</t>
  </si>
  <si>
    <t>01M21V00</t>
  </si>
  <si>
    <t>Controlduino</t>
  </si>
  <si>
    <t xml:space="preserve">Also Select optional parts  1# OEM : 0258017025.    2# AC/DC Power supply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</si>
</sst>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20" fillId="2" borderId="7" xfId="0" applyFont="1" applyFill="1" applyBorder="1" applyAlignment="1">
      <alignment horizontal="center" vertical="center" wrapText="1"/>
    </xf>
    <xf numFmtId="0" fontId="19" fillId="2" borderId="7" xfId="1" applyFill="1" applyBorder="1" applyAlignment="1">
      <alignment horizontal="center" vertical="center" wrapText="1"/>
    </xf>
    <xf numFmtId="0" fontId="19" fillId="2" borderId="8" xfId="1" applyFill="1" applyBorder="1" applyAlignment="1">
      <alignment horizontal="center" vertical="center" wrapText="1"/>
    </xf>
    <xf numFmtId="165" fontId="20" fillId="2" borderId="7" xfId="0" applyNumberFormat="1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22" fillId="2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Screw-terminal_DORABO-DB128L-5-08-2P-GN-S_C395868.html" TargetMode="External"/><Relationship Id="rId21" Type="http://schemas.openxmlformats.org/officeDocument/2006/relationships/hyperlink" Target="https://www.lcsc.com/product-detail/Wire-To-Board-Connector_BOOMELE-Boom-Precision-Elec-1-0T-6P_C145963.html" TargetMode="External"/><Relationship Id="rId42" Type="http://schemas.openxmlformats.org/officeDocument/2006/relationships/hyperlink" Target="https://www.lcsc.com/product-detail/Chip-Resistor-Surface-Mount_YAGEO-RC0603FR-0722RL_C107701.html" TargetMode="External"/><Relationship Id="rId47" Type="http://schemas.openxmlformats.org/officeDocument/2006/relationships/hyperlink" Target="https://www.lcsc.com/product-detail/Chip-Resistor-Surface-Mount_YAGEO-RT0603BRB07120RL_C860088.html" TargetMode="External"/><Relationship Id="rId63" Type="http://schemas.openxmlformats.org/officeDocument/2006/relationships/hyperlink" Target="https://www.lcsc.com/product-detail/Chip-Resistor-Surface-Mount_YAGEO-AC0402FR-072R2L_C226973.html" TargetMode="External"/><Relationship Id="rId68" Type="http://schemas.openxmlformats.org/officeDocument/2006/relationships/hyperlink" Target="https://www.chipsmall.com/Products/AOSD62666E_12904219.html" TargetMode="External"/><Relationship Id="rId7" Type="http://schemas.openxmlformats.org/officeDocument/2006/relationships/hyperlink" Target="https://www.lcsc.com/product-detail/Aluminum-Electrolytic-Capacitors-SMD_ROQANG-RVT1H470M0607_C72523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Schottky-Barrier-Diodes-SBD_MDD-Microdiode-Semiconductor-SS56_C65009.html" TargetMode="External"/><Relationship Id="rId29" Type="http://schemas.openxmlformats.org/officeDocument/2006/relationships/hyperlink" Target="https://www.lcsc.com/product-detail/Pin-Headers_XFCN-PZ254R-11-03P_C492411.html" TargetMode="External"/><Relationship Id="rId11" Type="http://schemas.openxmlformats.org/officeDocument/2006/relationships/hyperlink" Target="https://www.lcsc.com/product-detail/Multilayer-Ceramic-Capacitors-MLCC-SMD-SMT_YAGEO-CC0603KRX7R9BB223_C106222.html" TargetMode="External"/><Relationship Id="rId24" Type="http://schemas.openxmlformats.org/officeDocument/2006/relationships/hyperlink" Target="https://www.lcsc.com/product-detail/Pin-Headers_XFCN-PZ254R-12-6P_C492431.html" TargetMode="External"/><Relationship Id="rId32" Type="http://schemas.openxmlformats.org/officeDocument/2006/relationships/hyperlink" Target="https://www.lcsc.com/product-detail/Light-Emitting-Diodes-LED_Foshan-NationStar-Optoelectronics-NFD3401URD_C20618148.html" TargetMode="External"/><Relationship Id="rId37" Type="http://schemas.openxmlformats.org/officeDocument/2006/relationships/hyperlink" Target="https://www.lcsc.com/product-detail/Chip-Resistor-Surface-Mount_YAGEO-RT0603BRD0768KL_C705793.html" TargetMode="External"/><Relationship Id="rId40" Type="http://schemas.openxmlformats.org/officeDocument/2006/relationships/hyperlink" Target="https://www.lcsc.com/product-detail/Chip-Resistor-Surface-Mount_YAGEO-RC0603FR-0710KL_C98220.html" TargetMode="External"/><Relationship Id="rId45" Type="http://schemas.openxmlformats.org/officeDocument/2006/relationships/hyperlink" Target="https://www.lcsc.com/product-detail/Chip-Resistor-Surface-Mount_YAGEO-RC0603FR-07470RL_C114669.html" TargetMode="External"/><Relationship Id="rId53" Type="http://schemas.openxmlformats.org/officeDocument/2006/relationships/hyperlink" Target="https://www.lcsc.com/product-detail/Tactile-Switches_G-Switch-GT-TC074E-H080-L1_C963229.html" TargetMode="External"/><Relationship Id="rId58" Type="http://schemas.openxmlformats.org/officeDocument/2006/relationships/hyperlink" Target="https://www.lcsc.com/product-detail/Translators-Level-Shifters_Texas-Instruments-TXS0102DCUR_C53434.html" TargetMode="External"/><Relationship Id="rId66" Type="http://schemas.openxmlformats.org/officeDocument/2006/relationships/hyperlink" Target="https://vi.aliexpress.com/item/1005005720465455.html?gatewayAdapt=glo2vnm" TargetMode="External"/><Relationship Id="rId5" Type="http://schemas.openxmlformats.org/officeDocument/2006/relationships/hyperlink" Target="https://www.lcsc.com/product-detail/Multilayer-Ceramic-Capacitors-MLCC-SMD-SMT_YAGEO-CC0402KRX7R9BB473_C272875.html" TargetMode="External"/><Relationship Id="rId61" Type="http://schemas.openxmlformats.org/officeDocument/2006/relationships/hyperlink" Target="https://www.lcsc.com/product-detail/Translators-Level-Shifters_Texas-Instruments-TXB0102DCUT_C2677366.html" TargetMode="External"/><Relationship Id="rId19" Type="http://schemas.openxmlformats.org/officeDocument/2006/relationships/hyperlink" Target="https://www.lcsc.com/product-detail/Electrostatic-and-Surge-Protection-TVS-ESD_FTR-SMAJ5-0CA_C693487.html" TargetMode="External"/><Relationship Id="rId14" Type="http://schemas.openxmlformats.org/officeDocument/2006/relationships/hyperlink" Target="https://www.lcsc.com/product-detail/Multilayer-Ceramic-Capacitors-MLCC-SMD-SMT_YAGEO-CC0603KRX5R8BB225_C309478.html" TargetMode="External"/><Relationship Id="rId22" Type="http://schemas.openxmlformats.org/officeDocument/2006/relationships/hyperlink" Target="https://www.lcsc.com/product-detail/Screw-terminal_DORABO-DB128L-5-08-3P-BK-S_C430602.html" TargetMode="External"/><Relationship Id="rId27" Type="http://schemas.openxmlformats.org/officeDocument/2006/relationships/hyperlink" Target="https://www.lcsc.com/product-detail/DC-Power-Connector_XKB-Connection-DC-005-5A-2-5-SMT_C319133.html" TargetMode="External"/><Relationship Id="rId30" Type="http://schemas.openxmlformats.org/officeDocument/2006/relationships/hyperlink" Target="https://www.lcsc.com/product-detail/Power-Relays_HF-Xiamen-Hongfa-Electroacoustic-HF3FA-012-ZSTF_C190455.html" TargetMode="External"/><Relationship Id="rId35" Type="http://schemas.openxmlformats.org/officeDocument/2006/relationships/hyperlink" Target="https://www.lcsc.com/product-detail/Buzzers_FUET-FMB09A12-12V_C417387.html" TargetMode="External"/><Relationship Id="rId43" Type="http://schemas.openxmlformats.org/officeDocument/2006/relationships/hyperlink" Target="https://www.lcsc.com/product-detail/Chip-Resistor-Surface-Mount_YAGEO-RC0201FR-0747KL_C138139.html" TargetMode="External"/><Relationship Id="rId48" Type="http://schemas.openxmlformats.org/officeDocument/2006/relationships/hyperlink" Target="https://www.lcsc.com/product-detail/Chip-Resistor-Surface-Mount_YAGEO-RC0603FR-0715RL_C128059.html" TargetMode="External"/><Relationship Id="rId56" Type="http://schemas.openxmlformats.org/officeDocument/2006/relationships/hyperlink" Target="https://www.lcsc.com/product-detail/WiFi-Modules_Espressif-Systems-ESP32-S3-WROOM-1-N8R2_C2913204.html" TargetMode="External"/><Relationship Id="rId64" Type="http://schemas.openxmlformats.org/officeDocument/2006/relationships/hyperlink" Target="https://www.lcsc.com/product-detail/Current-Sense-Resistors-Shunt-Resistors_Milliohm-HoYH1206-1W-75mR-1_C2932840.html" TargetMode="External"/><Relationship Id="rId69" Type="http://schemas.openxmlformats.org/officeDocument/2006/relationships/hyperlink" Target="https://controlduino.com/store/Controlduino-01M21V00-Wideband-lambda-sensor-control-module-for-Arduino-rpm-p469875327" TargetMode="External"/><Relationship Id="rId8" Type="http://schemas.openxmlformats.org/officeDocument/2006/relationships/hyperlink" Target="https://www.lcsc.com/product-detail/Multilayer-Ceramic-Capacitors-MLCC-SMD-SMT_Samsung-Electro-Mechanics-CL10A226MP8NUNE_C86295.html" TargetMode="External"/><Relationship Id="rId51" Type="http://schemas.openxmlformats.org/officeDocument/2006/relationships/hyperlink" Target="https://www.lcsc.com/product-detail/Slide-Switches_XKB-Connection-SS-12D11G5R_C388633.html" TargetMode="External"/><Relationship Id="rId3" Type="http://schemas.openxmlformats.org/officeDocument/2006/relationships/hyperlink" Target="https://www.lcsc.com/product-detail/Multilayer-Ceramic-Capacitors-MLCC-SMD-SMT_YAGEO-CC1206KKX5R9BB106_C100122.html" TargetMode="External"/><Relationship Id="rId12" Type="http://schemas.openxmlformats.org/officeDocument/2006/relationships/hyperlink" Target="https://www.lcsc.com/product-detail/Multilayer-Ceramic-Capacitors-MLCC-SMD-SMT_YAGEO-CC0603KRX7R9BB224_C107083.html" TargetMode="External"/><Relationship Id="rId17" Type="http://schemas.openxmlformats.org/officeDocument/2006/relationships/hyperlink" Target="https://www.lcsc.com/product-detail/Electrostatic-and-Surge-Protection-TVS-ESD_MDD-Microdiode-Semiconductor-SMAJ12CA_C110042.html" TargetMode="External"/><Relationship Id="rId25" Type="http://schemas.openxmlformats.org/officeDocument/2006/relationships/hyperlink" Target="https://www.lcsc.com/product-detail/Spring-Clamp-System-Terminal-Block_Cixi-Kefa-Elec-KF236-5-0-1P_C976595.html" TargetMode="External"/><Relationship Id="rId33" Type="http://schemas.openxmlformats.org/officeDocument/2006/relationships/hyperlink" Target="https://www.lcsc.com/product-detail/Light-Emitting-Diodes-LED_Foshan-NationStar-Optoelectronics-NFD3401UGD_C20618151.html" TargetMode="External"/><Relationship Id="rId38" Type="http://schemas.openxmlformats.org/officeDocument/2006/relationships/hyperlink" Target="https://www.lcsc.com/product-detail/Chip-Resistor-Surface-Mount_YAGEO-RC0603FR-0712KL_C114659.html" TargetMode="External"/><Relationship Id="rId46" Type="http://schemas.openxmlformats.org/officeDocument/2006/relationships/hyperlink" Target="https://www.lcsc.com/product-detail/Chip-Resistor-Surface-Mount_YAGEO-RT0603BRD07100KL_C122538.html" TargetMode="External"/><Relationship Id="rId59" Type="http://schemas.openxmlformats.org/officeDocument/2006/relationships/hyperlink" Target="https://www.lcsc.com/product-detail/Translators-Level-Shifters_Texas-Instruments-TXU0304PWR_C4364118.html" TargetMode="External"/><Relationship Id="rId67" Type="http://schemas.openxmlformats.org/officeDocument/2006/relationships/hyperlink" Target="https://www.chipsmall.com/Products/REC16B25-201-C_13811859.html" TargetMode="External"/><Relationship Id="rId20" Type="http://schemas.openxmlformats.org/officeDocument/2006/relationships/hyperlink" Target="https://www.lcsc.com/product-detail/Switching-Diode_Diodes-Incorporated-1N4148W-7-F_C83528.html" TargetMode="External"/><Relationship Id="rId41" Type="http://schemas.openxmlformats.org/officeDocument/2006/relationships/hyperlink" Target="https://www.lcsc.com/product-detail/Chip-Resistor-Surface-Mount_YAGEO-RC0402FR-074K7L_C105871.html" TargetMode="External"/><Relationship Id="rId54" Type="http://schemas.openxmlformats.org/officeDocument/2006/relationships/hyperlink" Target="https://www.lcsc.com/product-detail/DC-DC-Converters_Texas-Instruments-LMR16030SDDAR_C136648.html" TargetMode="External"/><Relationship Id="rId62" Type="http://schemas.openxmlformats.org/officeDocument/2006/relationships/hyperlink" Target="https://www.lcsc.com/product-detail/Multilayer-Ceramic-Capacitors-MLCC-SMD-SMT_YAGEO-CC0402JRNPO9BN391_C282239.html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Samsung-Electro-Mechanics-CL10A475KO8NNNC_C19666.html" TargetMode="External"/><Relationship Id="rId6" Type="http://schemas.openxmlformats.org/officeDocument/2006/relationships/hyperlink" Target="https://www.lcsc.com/product-detail/Multilayer-Ceramic-Capacitors-MLCC-SMD-SMT_Samsung-Electro-Mechanics-CL10A105KB8NNNC_C15849.html" TargetMode="External"/><Relationship Id="rId15" Type="http://schemas.openxmlformats.org/officeDocument/2006/relationships/hyperlink" Target="https://www.lcsc.com/product-detail/Multilayer-Ceramic-Capacitors-MLCC-SMD-SMT_YAGEO-CC0603KRX5R9BB474_C513651.html" TargetMode="External"/><Relationship Id="rId23" Type="http://schemas.openxmlformats.org/officeDocument/2006/relationships/hyperlink" Target="https://www.lcsc.com/product-detail/Pin-Headers_XKB-Connection-X6511WV-04H-C60D30_C706876.html" TargetMode="External"/><Relationship Id="rId28" Type="http://schemas.openxmlformats.org/officeDocument/2006/relationships/hyperlink" Target="https://www.lcsc.com/product-detail/Screw-terminal_DORABO-DB128L-5-08-2P-GY-S_C500021.html" TargetMode="External"/><Relationship Id="rId36" Type="http://schemas.openxmlformats.org/officeDocument/2006/relationships/hyperlink" Target="https://www.lcsc.com/product-detail/Bipolar-Transistors-BJT_Diodes-Incorporated-MMBT2222A-7-F_C94515.html" TargetMode="External"/><Relationship Id="rId49" Type="http://schemas.openxmlformats.org/officeDocument/2006/relationships/hyperlink" Target="https://www.lcsc.com/product-detail/Chip-Resistor-Surface-Mount_YAGEO-RC0603FR-071K2L_C114605.html" TargetMode="External"/><Relationship Id="rId57" Type="http://schemas.openxmlformats.org/officeDocument/2006/relationships/hyperlink" Target="https://www.lcsc.com/product-detail/Stepping-Motor-Drivers_TRINAMIC-Motion-Control-GmbH-TMC2160A-TA-T_C465948.html" TargetMode="External"/><Relationship Id="rId10" Type="http://schemas.openxmlformats.org/officeDocument/2006/relationships/hyperlink" Target="https://www.lcsc.com/product-detail/Multilayer-Ceramic-Capacitors-MLCC-SMD-SMT_YAGEO-CC0603KRX7R9BB474_C513577.html" TargetMode="External"/><Relationship Id="rId31" Type="http://schemas.openxmlformats.org/officeDocument/2006/relationships/hyperlink" Target="https://www.lcsc.com/product-detail/Power-Inductors_cjiang-Changjiang-Microelectronics-Tech-FXL0630-5R6-M_C475914.html" TargetMode="External"/><Relationship Id="rId44" Type="http://schemas.openxmlformats.org/officeDocument/2006/relationships/hyperlink" Target="https://www.lcsc.com/product-detail/Chip-Resistor-Surface-Mount_YAGEO-RC0603FR-0747RL_C114623.html" TargetMode="External"/><Relationship Id="rId52" Type="http://schemas.openxmlformats.org/officeDocument/2006/relationships/hyperlink" Target="https://www.lcsc.com/product-detail/Slide-Switches_G-Switch-SS-12D02-G040_C2876023.html" TargetMode="External"/><Relationship Id="rId60" Type="http://schemas.openxmlformats.org/officeDocument/2006/relationships/hyperlink" Target="https://www.lcsc.com/product-detail/Precision-OpAmps_3PEAK-TP5591-TR_C248602.html" TargetMode="External"/><Relationship Id="rId65" Type="http://schemas.openxmlformats.org/officeDocument/2006/relationships/hyperlink" Target="https://www.lcsc.com/product-detail/Chip-Resistor-Surface-Mount_UNI-ROYAL-Uniroyal-Elec-0603WAF1300T5E_C22796.html" TargetMode="External"/><Relationship Id="rId4" Type="http://schemas.openxmlformats.org/officeDocument/2006/relationships/hyperlink" Target="https://www.lcsc.com/product-detail/Multilayer-Ceramic-Capacitors-MLCC-SMD-SMT_Murata-Electronics-GRM31CR61E476ME44L_C403725.html" TargetMode="External"/><Relationship Id="rId9" Type="http://schemas.openxmlformats.org/officeDocument/2006/relationships/hyperlink" Target="https://www.lcsc.com/product-detail/Aluminum-Electrolytic-Capacitors-SMD_ROQANG-RVT1H101M0607_C3151829.html" TargetMode="External"/><Relationship Id="rId13" Type="http://schemas.openxmlformats.org/officeDocument/2006/relationships/hyperlink" Target="https://www.lcsc.com/product-detail/Multilayer-Ceramic-Capacitors-MLCC-SMD-SMT_Samsung-Electro-Mechanics-CL10B102KC8NNNC_C153291.html" TargetMode="External"/><Relationship Id="rId18" Type="http://schemas.openxmlformats.org/officeDocument/2006/relationships/hyperlink" Target="https://www.lcsc.com/product-detail/Schottky-Barrier-Diodes-SBD_Diodes-Incorporated-B540C-13-F_C72264.html" TargetMode="External"/><Relationship Id="rId39" Type="http://schemas.openxmlformats.org/officeDocument/2006/relationships/hyperlink" Target="https://www.lcsc.com/product-detail/Chip-Resistor-Surface-Mount_YAGEO-RT0402BRD0745K3L_C852795.html" TargetMode="External"/><Relationship Id="rId34" Type="http://schemas.openxmlformats.org/officeDocument/2006/relationships/hyperlink" Target="https://www.lcsc.com/product-detail/Light-Emitting-Diodes-LED_Lite-On-LTL17KFL5D-012A_C575510.html" TargetMode="External"/><Relationship Id="rId50" Type="http://schemas.openxmlformats.org/officeDocument/2006/relationships/hyperlink" Target="https://www.lcsc.com/product-detail/Tactile-Switches_XKB-Connection-TS-1109S-C-B_C381037.html" TargetMode="External"/><Relationship Id="rId55" Type="http://schemas.openxmlformats.org/officeDocument/2006/relationships/hyperlink" Target="https://www.lcsc.com/product-detail/Linear-Voltage-Regulators-LDO_STMicroelectronics-LDL1117S33R_C4358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1"/>
  <sheetViews>
    <sheetView tabSelected="1" topLeftCell="A70" workbookViewId="0">
      <selection activeCell="A79" sqref="A79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0.28515625" bestFit="1" customWidth="1"/>
    <col min="16" max="16" width="19.7109375" bestFit="1" customWidth="1"/>
    <col min="17" max="17" width="26.425781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8"/>
      <c r="L1" s="48"/>
      <c r="M1" s="48"/>
      <c r="N1" s="48"/>
      <c r="O1" s="48"/>
      <c r="P1" s="48"/>
      <c r="Q1" s="48"/>
      <c r="R1" s="48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398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399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31</v>
      </c>
      <c r="E7" s="12" t="s">
        <v>100</v>
      </c>
      <c r="F7" s="12" t="s">
        <v>169</v>
      </c>
      <c r="G7" s="12" t="s">
        <v>212</v>
      </c>
      <c r="H7" s="12" t="s">
        <v>265</v>
      </c>
      <c r="I7" s="12" t="s">
        <v>385</v>
      </c>
      <c r="J7" s="12" t="s">
        <v>296</v>
      </c>
      <c r="K7" s="12" t="s">
        <v>388</v>
      </c>
      <c r="L7" s="12" t="s">
        <v>384</v>
      </c>
      <c r="M7" s="12" t="s">
        <v>392</v>
      </c>
      <c r="N7" s="12" t="s">
        <v>389</v>
      </c>
      <c r="O7" s="12" t="s">
        <v>386</v>
      </c>
      <c r="P7" s="12" t="s">
        <v>390</v>
      </c>
      <c r="Q7" s="12" t="s">
        <v>391</v>
      </c>
      <c r="R7" s="12" t="s">
        <v>387</v>
      </c>
    </row>
    <row r="8" spans="1:18" ht="36" x14ac:dyDescent="0.25">
      <c r="A8" s="1"/>
      <c r="B8" s="16">
        <f>ROW(B8) - ROW($B$7)</f>
        <v>1</v>
      </c>
      <c r="C8" s="22" t="s">
        <v>6</v>
      </c>
      <c r="D8" s="14" t="s">
        <v>32</v>
      </c>
      <c r="E8" s="14" t="s">
        <v>101</v>
      </c>
      <c r="F8" s="14" t="s">
        <v>170</v>
      </c>
      <c r="G8" s="14" t="s">
        <v>213</v>
      </c>
      <c r="H8" s="14" t="s">
        <v>266</v>
      </c>
      <c r="I8" s="14" t="s">
        <v>396</v>
      </c>
      <c r="J8" s="14" t="s">
        <v>297</v>
      </c>
      <c r="K8" s="14" t="s">
        <v>352</v>
      </c>
      <c r="L8" s="14">
        <v>20</v>
      </c>
      <c r="M8" s="14">
        <f>L8*10</f>
        <v>200</v>
      </c>
      <c r="N8" s="14">
        <v>300</v>
      </c>
      <c r="O8" s="43" t="s">
        <v>402</v>
      </c>
      <c r="P8" s="15">
        <v>3.3E-3</v>
      </c>
      <c r="Q8" s="15">
        <f t="shared" ref="Q8:Q43" si="0">P8*N8</f>
        <v>0.99</v>
      </c>
      <c r="R8" s="14"/>
    </row>
    <row r="9" spans="1:18" x14ac:dyDescent="0.25">
      <c r="A9" s="1"/>
      <c r="B9" s="17">
        <f t="shared" ref="B9:B77" si="1">ROW(B9) - ROW($B$7)</f>
        <v>2</v>
      </c>
      <c r="C9" s="23" t="s">
        <v>7</v>
      </c>
      <c r="D9" s="20" t="s">
        <v>33</v>
      </c>
      <c r="E9" s="20" t="s">
        <v>102</v>
      </c>
      <c r="F9" s="20" t="s">
        <v>171</v>
      </c>
      <c r="G9" s="20" t="s">
        <v>214</v>
      </c>
      <c r="H9" s="20" t="s">
        <v>266</v>
      </c>
      <c r="I9" s="20" t="s">
        <v>396</v>
      </c>
      <c r="J9" s="20" t="s">
        <v>298</v>
      </c>
      <c r="K9" s="20" t="s">
        <v>353</v>
      </c>
      <c r="L9" s="20">
        <v>2</v>
      </c>
      <c r="M9" s="14">
        <f t="shared" ref="M9:M72" si="2">L9*10</f>
        <v>20</v>
      </c>
      <c r="N9" s="20">
        <v>25</v>
      </c>
      <c r="O9" s="44" t="s">
        <v>402</v>
      </c>
      <c r="P9" s="21">
        <v>9.8900000000000002E-2</v>
      </c>
      <c r="Q9" s="21">
        <f t="shared" si="0"/>
        <v>2.4725000000000001</v>
      </c>
      <c r="R9" s="20"/>
    </row>
    <row r="10" spans="1:18" x14ac:dyDescent="0.25">
      <c r="A10" s="1"/>
      <c r="B10" s="16">
        <f>ROW(B10) - ROW($B$7)</f>
        <v>3</v>
      </c>
      <c r="C10" s="22" t="s">
        <v>7</v>
      </c>
      <c r="D10" s="14" t="s">
        <v>34</v>
      </c>
      <c r="E10" s="14" t="s">
        <v>103</v>
      </c>
      <c r="F10" s="14" t="s">
        <v>172</v>
      </c>
      <c r="G10" s="42" t="s">
        <v>215</v>
      </c>
      <c r="H10" s="14" t="s">
        <v>267</v>
      </c>
      <c r="I10" s="14" t="s">
        <v>408</v>
      </c>
      <c r="J10" s="14" t="s">
        <v>409</v>
      </c>
      <c r="K10" s="14" t="s">
        <v>354</v>
      </c>
      <c r="L10" s="14">
        <v>1</v>
      </c>
      <c r="M10" s="14">
        <f t="shared" si="2"/>
        <v>10</v>
      </c>
      <c r="N10" s="14">
        <v>100</v>
      </c>
      <c r="O10" s="43" t="s">
        <v>402</v>
      </c>
      <c r="P10" s="15">
        <v>2.8E-3</v>
      </c>
      <c r="Q10" s="15">
        <f t="shared" si="0"/>
        <v>0.27999999999999997</v>
      </c>
      <c r="R10" s="14"/>
    </row>
    <row r="11" spans="1:18" x14ac:dyDescent="0.25">
      <c r="A11" s="1"/>
      <c r="B11" s="17">
        <f t="shared" si="1"/>
        <v>4</v>
      </c>
      <c r="C11" s="23" t="s">
        <v>6</v>
      </c>
      <c r="D11" s="20" t="s">
        <v>35</v>
      </c>
      <c r="E11" s="20" t="s">
        <v>104</v>
      </c>
      <c r="F11" s="20" t="s">
        <v>171</v>
      </c>
      <c r="G11" s="20" t="s">
        <v>216</v>
      </c>
      <c r="H11" s="20" t="s">
        <v>268</v>
      </c>
      <c r="I11" s="20" t="s">
        <v>396</v>
      </c>
      <c r="J11" s="20" t="s">
        <v>299</v>
      </c>
      <c r="K11" s="20" t="s">
        <v>355</v>
      </c>
      <c r="L11" s="20">
        <v>3</v>
      </c>
      <c r="M11" s="14">
        <f t="shared" si="2"/>
        <v>30</v>
      </c>
      <c r="N11" s="20">
        <v>30</v>
      </c>
      <c r="O11" s="44" t="s">
        <v>402</v>
      </c>
      <c r="P11" s="21">
        <v>0.2868</v>
      </c>
      <c r="Q11" s="21">
        <f t="shared" si="0"/>
        <v>8.6039999999999992</v>
      </c>
      <c r="R11" s="20"/>
    </row>
    <row r="12" spans="1:18" x14ac:dyDescent="0.25">
      <c r="A12" s="1"/>
      <c r="B12" s="16">
        <f>ROW(B12) - ROW($B$7)</f>
        <v>5</v>
      </c>
      <c r="C12" s="22" t="s">
        <v>6</v>
      </c>
      <c r="D12" s="14" t="s">
        <v>36</v>
      </c>
      <c r="E12" s="14" t="s">
        <v>105</v>
      </c>
      <c r="F12" s="14" t="s">
        <v>172</v>
      </c>
      <c r="G12" s="14" t="s">
        <v>217</v>
      </c>
      <c r="H12" s="14" t="s">
        <v>266</v>
      </c>
      <c r="I12" s="14" t="s">
        <v>396</v>
      </c>
      <c r="J12" s="14" t="s">
        <v>300</v>
      </c>
      <c r="K12" s="14" t="s">
        <v>356</v>
      </c>
      <c r="L12" s="14">
        <v>1</v>
      </c>
      <c r="M12" s="14">
        <f t="shared" si="2"/>
        <v>10</v>
      </c>
      <c r="N12" s="14">
        <v>100</v>
      </c>
      <c r="O12" s="43" t="s">
        <v>402</v>
      </c>
      <c r="P12" s="15">
        <v>2.0999999999999999E-3</v>
      </c>
      <c r="Q12" s="15">
        <f t="shared" si="0"/>
        <v>0.21</v>
      </c>
      <c r="R12" s="14"/>
    </row>
    <row r="13" spans="1:18" x14ac:dyDescent="0.25">
      <c r="A13" s="1"/>
      <c r="B13" s="17">
        <f t="shared" si="1"/>
        <v>6</v>
      </c>
      <c r="C13" s="23" t="s">
        <v>6</v>
      </c>
      <c r="D13" s="20" t="s">
        <v>37</v>
      </c>
      <c r="E13" s="20" t="s">
        <v>106</v>
      </c>
      <c r="F13" s="20" t="s">
        <v>170</v>
      </c>
      <c r="G13" s="20" t="s">
        <v>218</v>
      </c>
      <c r="H13" s="20" t="s">
        <v>269</v>
      </c>
      <c r="I13" s="20" t="s">
        <v>396</v>
      </c>
      <c r="J13" s="20" t="s">
        <v>301</v>
      </c>
      <c r="K13" s="20" t="s">
        <v>357</v>
      </c>
      <c r="L13" s="20">
        <v>3</v>
      </c>
      <c r="M13" s="14">
        <f t="shared" si="2"/>
        <v>30</v>
      </c>
      <c r="N13" s="20">
        <v>100</v>
      </c>
      <c r="O13" s="44" t="s">
        <v>402</v>
      </c>
      <c r="P13" s="21">
        <v>4.4999999999999997E-3</v>
      </c>
      <c r="Q13" s="21">
        <f t="shared" si="0"/>
        <v>0.44999999999999996</v>
      </c>
      <c r="R13" s="20"/>
    </row>
    <row r="14" spans="1:18" x14ac:dyDescent="0.25">
      <c r="A14" s="1"/>
      <c r="B14" s="16">
        <f>ROW(B14) - ROW($B$7)</f>
        <v>7</v>
      </c>
      <c r="C14" s="22" t="s">
        <v>6</v>
      </c>
      <c r="D14" s="14" t="s">
        <v>38</v>
      </c>
      <c r="E14" s="14" t="s">
        <v>107</v>
      </c>
      <c r="F14" s="14" t="s">
        <v>170</v>
      </c>
      <c r="G14" s="42" t="s">
        <v>219</v>
      </c>
      <c r="H14" s="14" t="s">
        <v>266</v>
      </c>
      <c r="I14" s="14" t="s">
        <v>400</v>
      </c>
      <c r="J14" s="14" t="s">
        <v>401</v>
      </c>
      <c r="K14" s="14" t="s">
        <v>358</v>
      </c>
      <c r="L14" s="14">
        <v>1</v>
      </c>
      <c r="M14" s="14">
        <f t="shared" si="2"/>
        <v>10</v>
      </c>
      <c r="N14" s="14">
        <v>50</v>
      </c>
      <c r="O14" s="43" t="s">
        <v>402</v>
      </c>
      <c r="P14" s="15">
        <v>9.2999999999999992E-3</v>
      </c>
      <c r="Q14" s="15">
        <f t="shared" si="0"/>
        <v>0.46499999999999997</v>
      </c>
      <c r="R14" s="14"/>
    </row>
    <row r="15" spans="1:18" ht="36" x14ac:dyDescent="0.25">
      <c r="A15" s="1"/>
      <c r="B15" s="17">
        <f t="shared" si="1"/>
        <v>8</v>
      </c>
      <c r="C15" s="23" t="s">
        <v>6</v>
      </c>
      <c r="D15" s="20" t="s">
        <v>39</v>
      </c>
      <c r="E15" s="20" t="s">
        <v>108</v>
      </c>
      <c r="F15" s="20" t="s">
        <v>403</v>
      </c>
      <c r="G15" s="20" t="s">
        <v>173</v>
      </c>
      <c r="H15" s="20" t="s">
        <v>270</v>
      </c>
      <c r="I15" s="20" t="s">
        <v>396</v>
      </c>
      <c r="J15" s="20" t="s">
        <v>302</v>
      </c>
      <c r="K15" s="20" t="s">
        <v>355</v>
      </c>
      <c r="L15" s="20">
        <v>1</v>
      </c>
      <c r="M15" s="14">
        <f t="shared" si="2"/>
        <v>10</v>
      </c>
      <c r="N15" s="20">
        <v>20</v>
      </c>
      <c r="O15" s="44" t="s">
        <v>402</v>
      </c>
      <c r="P15" s="21">
        <v>3.2899999999999999E-2</v>
      </c>
      <c r="Q15" s="21">
        <f t="shared" si="0"/>
        <v>0.65799999999999992</v>
      </c>
      <c r="R15" s="20"/>
    </row>
    <row r="16" spans="1:18" x14ac:dyDescent="0.25">
      <c r="A16" s="1"/>
      <c r="B16" s="16">
        <f>ROW(B16) - ROW($B$7)</f>
        <v>9</v>
      </c>
      <c r="C16" s="23" t="s">
        <v>6</v>
      </c>
      <c r="D16" s="14" t="s">
        <v>40</v>
      </c>
      <c r="E16" s="14" t="s">
        <v>109</v>
      </c>
      <c r="F16" s="14" t="s">
        <v>170</v>
      </c>
      <c r="G16" s="42" t="s">
        <v>220</v>
      </c>
      <c r="H16" s="14" t="s">
        <v>266</v>
      </c>
      <c r="I16" s="14" t="s">
        <v>404</v>
      </c>
      <c r="J16" s="14" t="s">
        <v>405</v>
      </c>
      <c r="K16" s="14" t="s">
        <v>359</v>
      </c>
      <c r="L16" s="14">
        <v>2</v>
      </c>
      <c r="M16" s="14">
        <f t="shared" si="2"/>
        <v>20</v>
      </c>
      <c r="N16" s="14">
        <v>50</v>
      </c>
      <c r="O16" s="43" t="s">
        <v>402</v>
      </c>
      <c r="P16" s="15">
        <v>1.26E-2</v>
      </c>
      <c r="Q16" s="15">
        <f t="shared" si="0"/>
        <v>0.63</v>
      </c>
      <c r="R16" s="14"/>
    </row>
    <row r="17" spans="1:18" ht="36" x14ac:dyDescent="0.25">
      <c r="A17" s="1"/>
      <c r="B17" s="17">
        <f t="shared" si="1"/>
        <v>10</v>
      </c>
      <c r="C17" s="23" t="s">
        <v>6</v>
      </c>
      <c r="D17" s="20" t="s">
        <v>41</v>
      </c>
      <c r="E17" s="20" t="s">
        <v>110</v>
      </c>
      <c r="F17" s="20" t="s">
        <v>403</v>
      </c>
      <c r="G17" s="20" t="s">
        <v>174</v>
      </c>
      <c r="H17" s="20" t="s">
        <v>270</v>
      </c>
      <c r="I17" s="20" t="s">
        <v>396</v>
      </c>
      <c r="J17" s="20" t="s">
        <v>303</v>
      </c>
      <c r="K17" s="20" t="s">
        <v>360</v>
      </c>
      <c r="L17" s="20">
        <v>2</v>
      </c>
      <c r="M17" s="14">
        <f t="shared" si="2"/>
        <v>20</v>
      </c>
      <c r="N17" s="20">
        <v>30</v>
      </c>
      <c r="O17" s="44" t="s">
        <v>402</v>
      </c>
      <c r="P17" s="21">
        <v>5.7099999999999998E-2</v>
      </c>
      <c r="Q17" s="21">
        <f t="shared" si="0"/>
        <v>1.7129999999999999</v>
      </c>
      <c r="R17" s="20"/>
    </row>
    <row r="18" spans="1:18" ht="24" x14ac:dyDescent="0.25">
      <c r="A18" s="1"/>
      <c r="B18" s="16">
        <f>ROW(B18) - ROW($B$7)</f>
        <v>11</v>
      </c>
      <c r="C18" s="22" t="s">
        <v>6</v>
      </c>
      <c r="D18" s="14" t="s">
        <v>42</v>
      </c>
      <c r="E18" s="14" t="s">
        <v>111</v>
      </c>
      <c r="F18" s="14" t="s">
        <v>170</v>
      </c>
      <c r="G18" s="14" t="s">
        <v>221</v>
      </c>
      <c r="H18" s="14" t="s">
        <v>266</v>
      </c>
      <c r="I18" s="20" t="s">
        <v>396</v>
      </c>
      <c r="J18" s="14" t="s">
        <v>304</v>
      </c>
      <c r="K18" s="14" t="s">
        <v>361</v>
      </c>
      <c r="L18" s="14">
        <v>2</v>
      </c>
      <c r="M18" s="14">
        <f t="shared" si="2"/>
        <v>20</v>
      </c>
      <c r="N18" s="14">
        <v>50</v>
      </c>
      <c r="O18" s="43" t="s">
        <v>402</v>
      </c>
      <c r="P18" s="15">
        <v>9.1999999999999998E-3</v>
      </c>
      <c r="Q18" s="15">
        <f t="shared" si="0"/>
        <v>0.45999999999999996</v>
      </c>
      <c r="R18" s="14"/>
    </row>
    <row r="19" spans="1:18" x14ac:dyDescent="0.25">
      <c r="A19" s="1"/>
      <c r="B19" s="17">
        <f t="shared" si="1"/>
        <v>12</v>
      </c>
      <c r="C19" s="23" t="s">
        <v>6</v>
      </c>
      <c r="D19" s="20" t="s">
        <v>43</v>
      </c>
      <c r="E19" s="20" t="s">
        <v>112</v>
      </c>
      <c r="F19" s="20" t="s">
        <v>170</v>
      </c>
      <c r="G19" s="20" t="s">
        <v>222</v>
      </c>
      <c r="H19" s="20" t="s">
        <v>266</v>
      </c>
      <c r="I19" s="20" t="s">
        <v>396</v>
      </c>
      <c r="J19" s="20" t="s">
        <v>305</v>
      </c>
      <c r="K19" s="20" t="s">
        <v>362</v>
      </c>
      <c r="L19" s="20">
        <v>1</v>
      </c>
      <c r="M19" s="14">
        <f t="shared" si="2"/>
        <v>10</v>
      </c>
      <c r="N19" s="20">
        <v>100</v>
      </c>
      <c r="O19" s="43" t="s">
        <v>402</v>
      </c>
      <c r="P19" s="21">
        <v>2.8E-3</v>
      </c>
      <c r="Q19" s="21">
        <f t="shared" si="0"/>
        <v>0.27999999999999997</v>
      </c>
      <c r="R19" s="20"/>
    </row>
    <row r="20" spans="1:18" ht="24" x14ac:dyDescent="0.25">
      <c r="A20" s="1"/>
      <c r="B20" s="16">
        <f>ROW(B20) - ROW($B$7)</f>
        <v>13</v>
      </c>
      <c r="C20" s="22" t="s">
        <v>6</v>
      </c>
      <c r="D20" s="14" t="s">
        <v>44</v>
      </c>
      <c r="E20" s="14" t="s">
        <v>113</v>
      </c>
      <c r="F20" s="14" t="s">
        <v>170</v>
      </c>
      <c r="G20" s="14" t="s">
        <v>223</v>
      </c>
      <c r="H20" s="14" t="s">
        <v>266</v>
      </c>
      <c r="I20" s="20" t="s">
        <v>396</v>
      </c>
      <c r="J20" s="14" t="s">
        <v>306</v>
      </c>
      <c r="K20" s="14" t="s">
        <v>363</v>
      </c>
      <c r="L20" s="14">
        <v>4</v>
      </c>
      <c r="M20" s="14">
        <f t="shared" si="2"/>
        <v>40</v>
      </c>
      <c r="N20" s="14">
        <v>50</v>
      </c>
      <c r="O20" s="43" t="s">
        <v>402</v>
      </c>
      <c r="P20" s="15">
        <v>7.7999999999999996E-3</v>
      </c>
      <c r="Q20" s="15">
        <f t="shared" si="0"/>
        <v>0.38999999999999996</v>
      </c>
      <c r="R20" s="14"/>
    </row>
    <row r="21" spans="1:18" x14ac:dyDescent="0.25">
      <c r="A21" s="1"/>
      <c r="B21" s="17">
        <f t="shared" si="1"/>
        <v>14</v>
      </c>
      <c r="C21" s="22" t="s">
        <v>6</v>
      </c>
      <c r="D21" s="20" t="s">
        <v>45</v>
      </c>
      <c r="E21" s="20" t="s">
        <v>114</v>
      </c>
      <c r="F21" s="20" t="s">
        <v>170</v>
      </c>
      <c r="G21" s="20" t="s">
        <v>224</v>
      </c>
      <c r="H21" s="20" t="s">
        <v>269</v>
      </c>
      <c r="I21" s="20" t="s">
        <v>396</v>
      </c>
      <c r="J21" s="20" t="s">
        <v>307</v>
      </c>
      <c r="K21" s="20" t="s">
        <v>364</v>
      </c>
      <c r="L21" s="20">
        <v>4</v>
      </c>
      <c r="M21" s="14">
        <f t="shared" si="2"/>
        <v>40</v>
      </c>
      <c r="N21" s="20">
        <v>100</v>
      </c>
      <c r="O21" s="43" t="s">
        <v>402</v>
      </c>
      <c r="P21" s="21">
        <v>3.8E-3</v>
      </c>
      <c r="Q21" s="21">
        <f t="shared" si="0"/>
        <v>0.38</v>
      </c>
      <c r="R21" s="20"/>
    </row>
    <row r="22" spans="1:18" x14ac:dyDescent="0.25">
      <c r="A22" s="1"/>
      <c r="B22" s="16">
        <f>ROW(B22) - ROW($B$7)</f>
        <v>15</v>
      </c>
      <c r="C22" s="22" t="s">
        <v>6</v>
      </c>
      <c r="D22" s="14" t="s">
        <v>46</v>
      </c>
      <c r="E22" s="14" t="s">
        <v>115</v>
      </c>
      <c r="F22" s="14" t="s">
        <v>175</v>
      </c>
      <c r="G22" s="14" t="s">
        <v>225</v>
      </c>
      <c r="H22" s="14" t="s">
        <v>266</v>
      </c>
      <c r="I22" s="20" t="s">
        <v>396</v>
      </c>
      <c r="J22" s="14" t="s">
        <v>308</v>
      </c>
      <c r="K22" s="14" t="s">
        <v>365</v>
      </c>
      <c r="L22" s="14">
        <v>2</v>
      </c>
      <c r="M22" s="14">
        <f t="shared" si="2"/>
        <v>20</v>
      </c>
      <c r="N22" s="14">
        <v>40</v>
      </c>
      <c r="O22" s="43" t="s">
        <v>402</v>
      </c>
      <c r="P22" s="15">
        <v>2.0899999999999998E-2</v>
      </c>
      <c r="Q22" s="15">
        <f t="shared" si="0"/>
        <v>0.83599999999999997</v>
      </c>
      <c r="R22" s="14"/>
    </row>
    <row r="23" spans="1:18" x14ac:dyDescent="0.25">
      <c r="A23" s="1"/>
      <c r="B23" s="17">
        <f t="shared" si="1"/>
        <v>16</v>
      </c>
      <c r="C23" s="23" t="s">
        <v>6</v>
      </c>
      <c r="D23" s="20" t="s">
        <v>47</v>
      </c>
      <c r="E23" s="20" t="s">
        <v>116</v>
      </c>
      <c r="F23" s="20" t="s">
        <v>170</v>
      </c>
      <c r="G23" s="20" t="s">
        <v>226</v>
      </c>
      <c r="H23" s="20" t="s">
        <v>266</v>
      </c>
      <c r="I23" s="20" t="s">
        <v>396</v>
      </c>
      <c r="J23" s="20" t="s">
        <v>309</v>
      </c>
      <c r="K23" s="20" t="s">
        <v>366</v>
      </c>
      <c r="L23" s="20">
        <v>1</v>
      </c>
      <c r="M23" s="14">
        <f t="shared" si="2"/>
        <v>10</v>
      </c>
      <c r="N23" s="20">
        <v>50</v>
      </c>
      <c r="O23" s="43" t="s">
        <v>402</v>
      </c>
      <c r="P23" s="21">
        <v>9.4000000000000004E-3</v>
      </c>
      <c r="Q23" s="21">
        <f t="shared" si="0"/>
        <v>0.47000000000000003</v>
      </c>
      <c r="R23" s="20"/>
    </row>
    <row r="24" spans="1:18" x14ac:dyDescent="0.25">
      <c r="A24" s="1"/>
      <c r="B24" s="16">
        <f>ROW(B24) - ROW($B$7)</f>
        <v>17</v>
      </c>
      <c r="C24" s="23" t="s">
        <v>6</v>
      </c>
      <c r="D24" s="14" t="s">
        <v>48</v>
      </c>
      <c r="E24" s="14" t="s">
        <v>117</v>
      </c>
      <c r="F24" s="14" t="s">
        <v>176</v>
      </c>
      <c r="G24" s="14" t="s">
        <v>227</v>
      </c>
      <c r="H24" s="14" t="s">
        <v>271</v>
      </c>
      <c r="I24" s="14" t="s">
        <v>396</v>
      </c>
      <c r="J24" s="14" t="s">
        <v>393</v>
      </c>
      <c r="K24" s="14" t="s">
        <v>396</v>
      </c>
      <c r="L24" s="14">
        <v>1</v>
      </c>
      <c r="M24" s="14">
        <f t="shared" si="2"/>
        <v>10</v>
      </c>
      <c r="N24" s="14">
        <v>20</v>
      </c>
      <c r="O24" s="43" t="s">
        <v>402</v>
      </c>
      <c r="P24" s="15">
        <v>4.41E-2</v>
      </c>
      <c r="Q24" s="15">
        <f t="shared" si="0"/>
        <v>0.88200000000000001</v>
      </c>
      <c r="R24" s="14"/>
    </row>
    <row r="25" spans="1:18" ht="36" x14ac:dyDescent="0.25">
      <c r="A25" s="1"/>
      <c r="B25" s="17">
        <f t="shared" si="1"/>
        <v>18</v>
      </c>
      <c r="C25" s="23" t="s">
        <v>8</v>
      </c>
      <c r="D25" s="20" t="s">
        <v>49</v>
      </c>
      <c r="E25" s="20" t="s">
        <v>118</v>
      </c>
      <c r="F25" s="20" t="s">
        <v>177</v>
      </c>
      <c r="G25" s="20" t="s">
        <v>228</v>
      </c>
      <c r="H25" s="20" t="s">
        <v>271</v>
      </c>
      <c r="I25" s="20" t="s">
        <v>396</v>
      </c>
      <c r="J25" s="20" t="s">
        <v>310</v>
      </c>
      <c r="K25" s="14" t="s">
        <v>396</v>
      </c>
      <c r="L25" s="20">
        <v>1</v>
      </c>
      <c r="M25" s="14">
        <f t="shared" si="2"/>
        <v>10</v>
      </c>
      <c r="N25" s="20">
        <v>20</v>
      </c>
      <c r="O25" s="43" t="s">
        <v>402</v>
      </c>
      <c r="P25" s="21">
        <v>3.4799999999999998E-2</v>
      </c>
      <c r="Q25" s="21">
        <f t="shared" si="0"/>
        <v>0.69599999999999995</v>
      </c>
      <c r="R25" s="20"/>
    </row>
    <row r="26" spans="1:18" x14ac:dyDescent="0.25">
      <c r="A26" s="1"/>
      <c r="B26" s="16">
        <f>ROW(B26) - ROW($B$7)</f>
        <v>19</v>
      </c>
      <c r="C26" s="22" t="s">
        <v>9</v>
      </c>
      <c r="D26" s="14" t="s">
        <v>50</v>
      </c>
      <c r="E26" s="14" t="s">
        <v>119</v>
      </c>
      <c r="F26" s="14" t="s">
        <v>178</v>
      </c>
      <c r="G26" s="14" t="s">
        <v>229</v>
      </c>
      <c r="H26" s="14" t="s">
        <v>272</v>
      </c>
      <c r="I26" s="14" t="s">
        <v>396</v>
      </c>
      <c r="J26" s="14" t="s">
        <v>311</v>
      </c>
      <c r="K26" s="14" t="s">
        <v>396</v>
      </c>
      <c r="L26" s="14">
        <v>1</v>
      </c>
      <c r="M26" s="14">
        <f t="shared" si="2"/>
        <v>10</v>
      </c>
      <c r="N26" s="14">
        <v>15</v>
      </c>
      <c r="O26" s="43" t="s">
        <v>402</v>
      </c>
      <c r="P26" s="15">
        <v>0.11</v>
      </c>
      <c r="Q26" s="15">
        <f t="shared" si="0"/>
        <v>1.65</v>
      </c>
      <c r="R26" s="14"/>
    </row>
    <row r="27" spans="1:18" x14ac:dyDescent="0.25">
      <c r="A27" s="1"/>
      <c r="B27" s="17">
        <f t="shared" si="1"/>
        <v>20</v>
      </c>
      <c r="C27" s="22" t="s">
        <v>9</v>
      </c>
      <c r="D27" s="20" t="s">
        <v>51</v>
      </c>
      <c r="E27" s="20" t="s">
        <v>120</v>
      </c>
      <c r="F27" s="20" t="s">
        <v>177</v>
      </c>
      <c r="G27" s="20" t="s">
        <v>230</v>
      </c>
      <c r="H27" s="20" t="s">
        <v>273</v>
      </c>
      <c r="I27" s="20" t="s">
        <v>396</v>
      </c>
      <c r="J27" s="14" t="s">
        <v>10</v>
      </c>
      <c r="K27" s="14" t="s">
        <v>396</v>
      </c>
      <c r="L27" s="20">
        <v>1</v>
      </c>
      <c r="M27" s="14">
        <f t="shared" si="2"/>
        <v>10</v>
      </c>
      <c r="N27" s="20">
        <v>20</v>
      </c>
      <c r="O27" s="43" t="s">
        <v>402</v>
      </c>
      <c r="P27" s="21">
        <v>3.44E-2</v>
      </c>
      <c r="Q27" s="21">
        <f t="shared" si="0"/>
        <v>0.68799999999999994</v>
      </c>
      <c r="R27" s="20"/>
    </row>
    <row r="28" spans="1:18" x14ac:dyDescent="0.25">
      <c r="A28" s="1"/>
      <c r="B28" s="16">
        <f>ROW(B28) - ROW($B$7)</f>
        <v>21</v>
      </c>
      <c r="C28" s="22" t="s">
        <v>9</v>
      </c>
      <c r="D28" s="14" t="s">
        <v>52</v>
      </c>
      <c r="E28" s="14" t="s">
        <v>121</v>
      </c>
      <c r="F28" s="14" t="s">
        <v>179</v>
      </c>
      <c r="G28" s="14" t="s">
        <v>231</v>
      </c>
      <c r="H28" s="14" t="s">
        <v>272</v>
      </c>
      <c r="I28" s="14" t="s">
        <v>396</v>
      </c>
      <c r="J28" s="14" t="s">
        <v>312</v>
      </c>
      <c r="K28" s="14" t="s">
        <v>396</v>
      </c>
      <c r="L28" s="14">
        <v>2</v>
      </c>
      <c r="M28" s="14">
        <f t="shared" si="2"/>
        <v>20</v>
      </c>
      <c r="N28" s="14">
        <v>50</v>
      </c>
      <c r="O28" s="43" t="s">
        <v>402</v>
      </c>
      <c r="P28" s="15">
        <v>1.4500000000000001E-2</v>
      </c>
      <c r="Q28" s="15">
        <f t="shared" si="0"/>
        <v>0.72500000000000009</v>
      </c>
      <c r="R28" s="14"/>
    </row>
    <row r="29" spans="1:18" ht="24" x14ac:dyDescent="0.25">
      <c r="A29" s="1"/>
      <c r="B29" s="17">
        <f t="shared" si="1"/>
        <v>22</v>
      </c>
      <c r="C29" s="23" t="s">
        <v>11</v>
      </c>
      <c r="D29" s="20" t="s">
        <v>53</v>
      </c>
      <c r="E29" s="20" t="s">
        <v>122</v>
      </c>
      <c r="F29" s="20" t="s">
        <v>403</v>
      </c>
      <c r="G29" s="20" t="s">
        <v>406</v>
      </c>
      <c r="H29" s="20" t="s">
        <v>274</v>
      </c>
      <c r="I29" s="20" t="s">
        <v>396</v>
      </c>
      <c r="J29" s="20" t="s">
        <v>232</v>
      </c>
      <c r="K29" s="14" t="s">
        <v>396</v>
      </c>
      <c r="L29" s="20">
        <v>1</v>
      </c>
      <c r="M29" s="14">
        <f t="shared" si="2"/>
        <v>10</v>
      </c>
      <c r="N29" s="20">
        <v>12</v>
      </c>
      <c r="O29" s="43" t="s">
        <v>402</v>
      </c>
      <c r="P29" s="21">
        <v>6.4500000000000002E-2</v>
      </c>
      <c r="Q29" s="21">
        <f t="shared" si="0"/>
        <v>0.77400000000000002</v>
      </c>
      <c r="R29" s="20"/>
    </row>
    <row r="30" spans="1:18" ht="48" x14ac:dyDescent="0.25">
      <c r="A30" s="1"/>
      <c r="B30" s="16">
        <f>ROW(B30) - ROW($B$7)</f>
        <v>23</v>
      </c>
      <c r="C30" s="22" t="s">
        <v>12</v>
      </c>
      <c r="D30" s="14" t="s">
        <v>54</v>
      </c>
      <c r="E30" s="14" t="s">
        <v>123</v>
      </c>
      <c r="F30" s="14" t="s">
        <v>403</v>
      </c>
      <c r="G30" s="14" t="s">
        <v>180</v>
      </c>
      <c r="H30" s="14" t="s">
        <v>275</v>
      </c>
      <c r="I30" s="20" t="s">
        <v>396</v>
      </c>
      <c r="J30" s="14" t="s">
        <v>313</v>
      </c>
      <c r="K30" s="14" t="s">
        <v>396</v>
      </c>
      <c r="L30" s="14">
        <v>1</v>
      </c>
      <c r="M30" s="14">
        <f t="shared" si="2"/>
        <v>10</v>
      </c>
      <c r="N30" s="14">
        <v>15</v>
      </c>
      <c r="O30" s="43" t="s">
        <v>402</v>
      </c>
      <c r="P30" s="15">
        <v>0.24970000000000001</v>
      </c>
      <c r="Q30" s="15">
        <f t="shared" si="0"/>
        <v>3.7455000000000003</v>
      </c>
      <c r="R30" s="14"/>
    </row>
    <row r="31" spans="1:18" ht="48" x14ac:dyDescent="0.25">
      <c r="A31" s="1"/>
      <c r="B31" s="17">
        <f t="shared" si="1"/>
        <v>24</v>
      </c>
      <c r="C31" s="23" t="s">
        <v>13</v>
      </c>
      <c r="D31" s="20" t="s">
        <v>55</v>
      </c>
      <c r="E31" s="20" t="s">
        <v>124</v>
      </c>
      <c r="F31" s="20" t="s">
        <v>181</v>
      </c>
      <c r="G31" s="20" t="s">
        <v>233</v>
      </c>
      <c r="H31" s="20" t="s">
        <v>276</v>
      </c>
      <c r="I31" s="20" t="s">
        <v>396</v>
      </c>
      <c r="J31" s="20" t="s">
        <v>314</v>
      </c>
      <c r="K31" s="14" t="s">
        <v>396</v>
      </c>
      <c r="L31" s="20">
        <v>2</v>
      </c>
      <c r="M31" s="14">
        <f t="shared" si="2"/>
        <v>20</v>
      </c>
      <c r="N31" s="20">
        <v>30</v>
      </c>
      <c r="O31" s="43" t="s">
        <v>402</v>
      </c>
      <c r="P31" s="21">
        <v>5.0500000000000003E-2</v>
      </c>
      <c r="Q31" s="21">
        <f t="shared" si="0"/>
        <v>1.5150000000000001</v>
      </c>
      <c r="R31" s="20"/>
    </row>
    <row r="32" spans="1:18" ht="48" x14ac:dyDescent="0.25">
      <c r="A32" s="1"/>
      <c r="B32" s="16">
        <f>ROW(B32) - ROW($B$7)</f>
        <v>25</v>
      </c>
      <c r="C32" s="22" t="s">
        <v>14</v>
      </c>
      <c r="D32" s="14" t="s">
        <v>56</v>
      </c>
      <c r="E32" s="14" t="s">
        <v>125</v>
      </c>
      <c r="F32" s="14" t="s">
        <v>182</v>
      </c>
      <c r="G32" s="14" t="s">
        <v>234</v>
      </c>
      <c r="H32" s="14" t="s">
        <v>277</v>
      </c>
      <c r="I32" s="20" t="s">
        <v>396</v>
      </c>
      <c r="J32" s="14" t="s">
        <v>315</v>
      </c>
      <c r="K32" s="14" t="s">
        <v>396</v>
      </c>
      <c r="L32" s="14">
        <v>1</v>
      </c>
      <c r="M32" s="14">
        <f t="shared" si="2"/>
        <v>10</v>
      </c>
      <c r="N32" s="14">
        <v>20</v>
      </c>
      <c r="O32" s="43" t="s">
        <v>402</v>
      </c>
      <c r="P32" s="15">
        <v>3.5700000000000003E-2</v>
      </c>
      <c r="Q32" s="15">
        <f t="shared" si="0"/>
        <v>0.71400000000000008</v>
      </c>
      <c r="R32" s="14"/>
    </row>
    <row r="33" spans="1:18" ht="48" x14ac:dyDescent="0.25">
      <c r="A33" s="1"/>
      <c r="B33" s="17">
        <f t="shared" si="1"/>
        <v>26</v>
      </c>
      <c r="C33" s="23" t="s">
        <v>12</v>
      </c>
      <c r="D33" s="20" t="s">
        <v>57</v>
      </c>
      <c r="E33" s="20" t="s">
        <v>126</v>
      </c>
      <c r="F33" s="20" t="s">
        <v>403</v>
      </c>
      <c r="G33" s="20" t="s">
        <v>183</v>
      </c>
      <c r="H33" s="20" t="s">
        <v>278</v>
      </c>
      <c r="I33" s="20" t="s">
        <v>396</v>
      </c>
      <c r="J33" s="20" t="s">
        <v>316</v>
      </c>
      <c r="K33" s="14" t="s">
        <v>396</v>
      </c>
      <c r="L33" s="20">
        <v>1</v>
      </c>
      <c r="M33" s="14">
        <f t="shared" si="2"/>
        <v>10</v>
      </c>
      <c r="N33" s="20">
        <v>15</v>
      </c>
      <c r="O33" s="43" t="s">
        <v>402</v>
      </c>
      <c r="P33" s="21">
        <v>0.15010000000000001</v>
      </c>
      <c r="Q33" s="21">
        <f t="shared" si="0"/>
        <v>2.2515000000000001</v>
      </c>
      <c r="R33" s="20"/>
    </row>
    <row r="34" spans="1:18" ht="48" x14ac:dyDescent="0.25">
      <c r="A34" s="1"/>
      <c r="B34" s="16">
        <f>ROW(B34) - ROW($B$7)</f>
        <v>27</v>
      </c>
      <c r="C34" s="22" t="s">
        <v>12</v>
      </c>
      <c r="D34" s="14" t="s">
        <v>58</v>
      </c>
      <c r="E34" s="14" t="s">
        <v>127</v>
      </c>
      <c r="F34" s="20" t="s">
        <v>403</v>
      </c>
      <c r="G34" s="14" t="s">
        <v>184</v>
      </c>
      <c r="H34" s="14" t="s">
        <v>279</v>
      </c>
      <c r="I34" s="20" t="s">
        <v>396</v>
      </c>
      <c r="J34" s="14" t="s">
        <v>317</v>
      </c>
      <c r="K34" s="14" t="s">
        <v>396</v>
      </c>
      <c r="L34" s="14">
        <v>1</v>
      </c>
      <c r="M34" s="14">
        <f t="shared" si="2"/>
        <v>10</v>
      </c>
      <c r="N34" s="14">
        <v>15</v>
      </c>
      <c r="O34" s="43" t="s">
        <v>402</v>
      </c>
      <c r="P34" s="15">
        <v>0.15890000000000001</v>
      </c>
      <c r="Q34" s="15">
        <f t="shared" si="0"/>
        <v>2.3835000000000002</v>
      </c>
      <c r="R34" s="14"/>
    </row>
    <row r="35" spans="1:18" ht="24" x14ac:dyDescent="0.25">
      <c r="A35" s="1"/>
      <c r="B35" s="17">
        <f t="shared" si="1"/>
        <v>28</v>
      </c>
      <c r="C35" s="23" t="s">
        <v>397</v>
      </c>
      <c r="D35" s="20" t="s">
        <v>59</v>
      </c>
      <c r="E35" s="20" t="s">
        <v>128</v>
      </c>
      <c r="F35" s="20" t="s">
        <v>403</v>
      </c>
      <c r="G35" s="20" t="s">
        <v>185</v>
      </c>
      <c r="H35" s="20" t="s">
        <v>280</v>
      </c>
      <c r="I35" s="20" t="s">
        <v>396</v>
      </c>
      <c r="J35" s="20" t="s">
        <v>318</v>
      </c>
      <c r="K35" s="14" t="s">
        <v>396</v>
      </c>
      <c r="L35" s="20">
        <v>1</v>
      </c>
      <c r="M35" s="14">
        <f t="shared" si="2"/>
        <v>10</v>
      </c>
      <c r="N35" s="20">
        <v>11</v>
      </c>
      <c r="O35" s="43" t="s">
        <v>402</v>
      </c>
      <c r="P35" s="21">
        <v>0.36820000000000003</v>
      </c>
      <c r="Q35" s="21">
        <f t="shared" si="0"/>
        <v>4.0502000000000002</v>
      </c>
      <c r="R35" s="20"/>
    </row>
    <row r="36" spans="1:18" ht="48" x14ac:dyDescent="0.25">
      <c r="A36" s="1"/>
      <c r="B36" s="16">
        <f>ROW(B36) - ROW($B$7)</f>
        <v>29</v>
      </c>
      <c r="C36" s="22" t="s">
        <v>12</v>
      </c>
      <c r="D36" s="14" t="s">
        <v>60</v>
      </c>
      <c r="E36" s="14" t="s">
        <v>129</v>
      </c>
      <c r="F36" s="20" t="s">
        <v>403</v>
      </c>
      <c r="G36" s="14" t="s">
        <v>186</v>
      </c>
      <c r="H36" s="14" t="s">
        <v>279</v>
      </c>
      <c r="I36" s="20" t="s">
        <v>396</v>
      </c>
      <c r="J36" s="14" t="s">
        <v>319</v>
      </c>
      <c r="K36" s="14" t="s">
        <v>396</v>
      </c>
      <c r="L36" s="14">
        <v>1</v>
      </c>
      <c r="M36" s="14">
        <f t="shared" si="2"/>
        <v>10</v>
      </c>
      <c r="N36" s="14">
        <v>15</v>
      </c>
      <c r="O36" s="43" t="s">
        <v>402</v>
      </c>
      <c r="P36" s="15">
        <v>0.15840000000000001</v>
      </c>
      <c r="Q36" s="15">
        <f t="shared" si="0"/>
        <v>2.3760000000000003</v>
      </c>
      <c r="R36" s="14"/>
    </row>
    <row r="37" spans="1:18" ht="48" x14ac:dyDescent="0.25">
      <c r="A37" s="1"/>
      <c r="B37" s="17">
        <f t="shared" si="1"/>
        <v>30</v>
      </c>
      <c r="C37" s="23" t="s">
        <v>14</v>
      </c>
      <c r="D37" s="20" t="s">
        <v>61</v>
      </c>
      <c r="E37" s="20" t="s">
        <v>130</v>
      </c>
      <c r="F37" s="20" t="s">
        <v>187</v>
      </c>
      <c r="G37" s="20" t="s">
        <v>235</v>
      </c>
      <c r="H37" s="20" t="s">
        <v>277</v>
      </c>
      <c r="I37" s="20" t="s">
        <v>396</v>
      </c>
      <c r="J37" s="20" t="s">
        <v>320</v>
      </c>
      <c r="K37" s="14" t="s">
        <v>396</v>
      </c>
      <c r="L37" s="20">
        <v>1</v>
      </c>
      <c r="M37" s="14">
        <f t="shared" si="2"/>
        <v>10</v>
      </c>
      <c r="N37" s="20">
        <v>20</v>
      </c>
      <c r="O37" s="43" t="s">
        <v>402</v>
      </c>
      <c r="P37" s="21">
        <v>1.8800000000000001E-2</v>
      </c>
      <c r="Q37" s="21">
        <f t="shared" si="0"/>
        <v>0.376</v>
      </c>
      <c r="R37" s="20"/>
    </row>
    <row r="38" spans="1:18" ht="24" x14ac:dyDescent="0.25">
      <c r="A38" s="1"/>
      <c r="B38" s="16">
        <f>ROW(B38) - ROW($B$7)</f>
        <v>31</v>
      </c>
      <c r="C38" s="22" t="s">
        <v>15</v>
      </c>
      <c r="D38" s="14" t="s">
        <v>62</v>
      </c>
      <c r="E38" s="14" t="s">
        <v>131</v>
      </c>
      <c r="F38" s="14" t="s">
        <v>403</v>
      </c>
      <c r="G38" s="14" t="s">
        <v>188</v>
      </c>
      <c r="H38" s="14" t="s">
        <v>281</v>
      </c>
      <c r="I38" s="20" t="s">
        <v>396</v>
      </c>
      <c r="J38" s="14" t="s">
        <v>321</v>
      </c>
      <c r="K38" s="14" t="s">
        <v>396</v>
      </c>
      <c r="L38" s="14">
        <v>1</v>
      </c>
      <c r="M38" s="14">
        <f t="shared" si="2"/>
        <v>10</v>
      </c>
      <c r="N38" s="14">
        <v>11</v>
      </c>
      <c r="O38" s="43" t="s">
        <v>402</v>
      </c>
      <c r="P38" s="15">
        <v>0.67759999999999998</v>
      </c>
      <c r="Q38" s="15">
        <f t="shared" si="0"/>
        <v>7.4535999999999998</v>
      </c>
      <c r="R38" s="14"/>
    </row>
    <row r="39" spans="1:18" ht="24" x14ac:dyDescent="0.25">
      <c r="A39" s="1"/>
      <c r="B39" s="17">
        <f t="shared" si="1"/>
        <v>32</v>
      </c>
      <c r="C39" s="23" t="s">
        <v>16</v>
      </c>
      <c r="D39" s="20" t="s">
        <v>63</v>
      </c>
      <c r="E39" s="20" t="s">
        <v>132</v>
      </c>
      <c r="F39" s="14" t="s">
        <v>403</v>
      </c>
      <c r="G39" s="20" t="s">
        <v>189</v>
      </c>
      <c r="H39" s="20" t="s">
        <v>282</v>
      </c>
      <c r="I39" s="20" t="s">
        <v>396</v>
      </c>
      <c r="J39" s="20" t="s">
        <v>322</v>
      </c>
      <c r="K39" s="20" t="s">
        <v>367</v>
      </c>
      <c r="L39" s="20">
        <v>1</v>
      </c>
      <c r="M39" s="14">
        <f t="shared" si="2"/>
        <v>10</v>
      </c>
      <c r="N39" s="20">
        <v>15</v>
      </c>
      <c r="O39" s="43" t="s">
        <v>402</v>
      </c>
      <c r="P39" s="21">
        <v>0.16950000000000001</v>
      </c>
      <c r="Q39" s="21">
        <f t="shared" si="0"/>
        <v>2.5425</v>
      </c>
      <c r="R39" s="20"/>
    </row>
    <row r="40" spans="1:18" ht="36" x14ac:dyDescent="0.25">
      <c r="A40" s="1"/>
      <c r="B40" s="16">
        <f>ROW(B40) - ROW($B$7)</f>
        <v>33</v>
      </c>
      <c r="C40" s="22" t="s">
        <v>17</v>
      </c>
      <c r="D40" s="14" t="s">
        <v>64</v>
      </c>
      <c r="E40" s="14" t="s">
        <v>133</v>
      </c>
      <c r="F40" s="14" t="s">
        <v>190</v>
      </c>
      <c r="G40" s="14" t="s">
        <v>236</v>
      </c>
      <c r="H40" s="14" t="s">
        <v>283</v>
      </c>
      <c r="I40" s="20" t="s">
        <v>396</v>
      </c>
      <c r="J40" s="14" t="s">
        <v>323</v>
      </c>
      <c r="K40" s="14" t="s">
        <v>396</v>
      </c>
      <c r="L40" s="14">
        <v>2</v>
      </c>
      <c r="M40" s="14">
        <f t="shared" si="2"/>
        <v>20</v>
      </c>
      <c r="N40" s="14">
        <v>40</v>
      </c>
      <c r="O40" s="43" t="s">
        <v>402</v>
      </c>
      <c r="P40" s="15">
        <v>3.0800000000000001E-2</v>
      </c>
      <c r="Q40" s="15">
        <f t="shared" si="0"/>
        <v>1.232</v>
      </c>
      <c r="R40" s="14"/>
    </row>
    <row r="41" spans="1:18" ht="36" x14ac:dyDescent="0.25">
      <c r="A41" s="1"/>
      <c r="B41" s="17">
        <f t="shared" si="1"/>
        <v>34</v>
      </c>
      <c r="C41" s="23" t="s">
        <v>17</v>
      </c>
      <c r="D41" s="20" t="s">
        <v>65</v>
      </c>
      <c r="E41" s="20" t="s">
        <v>134</v>
      </c>
      <c r="F41" s="20" t="s">
        <v>191</v>
      </c>
      <c r="G41" s="20" t="s">
        <v>237</v>
      </c>
      <c r="H41" s="20" t="s">
        <v>283</v>
      </c>
      <c r="I41" s="20" t="s">
        <v>396</v>
      </c>
      <c r="J41" s="20" t="s">
        <v>324</v>
      </c>
      <c r="K41" s="14" t="s">
        <v>396</v>
      </c>
      <c r="L41" s="20">
        <v>2</v>
      </c>
      <c r="M41" s="14">
        <f t="shared" si="2"/>
        <v>20</v>
      </c>
      <c r="N41" s="20">
        <v>40</v>
      </c>
      <c r="O41" s="43" t="s">
        <v>402</v>
      </c>
      <c r="P41" s="21">
        <v>3.3599999999999998E-2</v>
      </c>
      <c r="Q41" s="21">
        <f t="shared" si="0"/>
        <v>1.3439999999999999</v>
      </c>
      <c r="R41" s="20"/>
    </row>
    <row r="42" spans="1:18" ht="48" x14ac:dyDescent="0.25">
      <c r="A42" s="1"/>
      <c r="B42" s="16">
        <f>ROW(B42) - ROW($B$7)</f>
        <v>35</v>
      </c>
      <c r="C42" s="22" t="s">
        <v>17</v>
      </c>
      <c r="D42" s="14" t="s">
        <v>66</v>
      </c>
      <c r="E42" s="14" t="s">
        <v>135</v>
      </c>
      <c r="F42" s="14" t="s">
        <v>191</v>
      </c>
      <c r="G42" s="14" t="s">
        <v>238</v>
      </c>
      <c r="H42" s="14" t="s">
        <v>284</v>
      </c>
      <c r="I42" s="20" t="s">
        <v>396</v>
      </c>
      <c r="J42" s="14" t="s">
        <v>325</v>
      </c>
      <c r="K42" s="14" t="s">
        <v>396</v>
      </c>
      <c r="L42" s="14">
        <v>2</v>
      </c>
      <c r="M42" s="14">
        <f t="shared" si="2"/>
        <v>20</v>
      </c>
      <c r="N42" s="14">
        <v>30</v>
      </c>
      <c r="O42" s="43" t="s">
        <v>402</v>
      </c>
      <c r="P42" s="15">
        <v>6.3500000000000001E-2</v>
      </c>
      <c r="Q42" s="15">
        <f t="shared" si="0"/>
        <v>1.905</v>
      </c>
      <c r="R42" s="14"/>
    </row>
    <row r="43" spans="1:18" ht="36" x14ac:dyDescent="0.25">
      <c r="A43" s="1"/>
      <c r="B43" s="17">
        <f t="shared" si="1"/>
        <v>36</v>
      </c>
      <c r="C43" s="23" t="s">
        <v>18</v>
      </c>
      <c r="D43" s="20" t="s">
        <v>67</v>
      </c>
      <c r="E43" s="20" t="s">
        <v>136</v>
      </c>
      <c r="F43" s="20" t="s">
        <v>403</v>
      </c>
      <c r="G43" s="20" t="s">
        <v>192</v>
      </c>
      <c r="H43" s="20" t="s">
        <v>285</v>
      </c>
      <c r="I43" s="20" t="s">
        <v>396</v>
      </c>
      <c r="J43" s="20" t="s">
        <v>326</v>
      </c>
      <c r="K43" s="14" t="s">
        <v>396</v>
      </c>
      <c r="L43" s="20">
        <v>1</v>
      </c>
      <c r="M43" s="14">
        <f t="shared" si="2"/>
        <v>10</v>
      </c>
      <c r="N43" s="20">
        <v>11</v>
      </c>
      <c r="O43" s="43" t="s">
        <v>402</v>
      </c>
      <c r="P43" s="21">
        <v>0.29949999999999999</v>
      </c>
      <c r="Q43" s="21">
        <f t="shared" si="0"/>
        <v>3.2944999999999998</v>
      </c>
      <c r="R43" s="20"/>
    </row>
    <row r="44" spans="1:18" x14ac:dyDescent="0.25">
      <c r="A44" s="1"/>
      <c r="B44" s="16">
        <f>ROW(B44) - ROW($B$7)</f>
        <v>37</v>
      </c>
      <c r="C44" s="22" t="s">
        <v>19</v>
      </c>
      <c r="D44" s="42" t="s">
        <v>68</v>
      </c>
      <c r="E44" s="42" t="s">
        <v>137</v>
      </c>
      <c r="F44" s="42" t="s">
        <v>403</v>
      </c>
      <c r="G44" s="42" t="s">
        <v>193</v>
      </c>
      <c r="H44" s="42" t="s">
        <v>396</v>
      </c>
      <c r="I44" s="42" t="s">
        <v>396</v>
      </c>
      <c r="J44" s="42" t="s">
        <v>396</v>
      </c>
      <c r="K44" s="42" t="s">
        <v>396</v>
      </c>
      <c r="L44" s="42">
        <v>4</v>
      </c>
      <c r="M44" s="42">
        <f t="shared" si="2"/>
        <v>40</v>
      </c>
      <c r="N44" s="42" t="s">
        <v>396</v>
      </c>
      <c r="O44" s="14" t="s">
        <v>396</v>
      </c>
      <c r="P44" s="45" t="s">
        <v>396</v>
      </c>
      <c r="Q44" s="45" t="s">
        <v>396</v>
      </c>
      <c r="R44" s="46" t="s">
        <v>407</v>
      </c>
    </row>
    <row r="45" spans="1:18" x14ac:dyDescent="0.25">
      <c r="A45" s="1"/>
      <c r="B45" s="17">
        <f t="shared" si="1"/>
        <v>38</v>
      </c>
      <c r="C45" s="23" t="s">
        <v>20</v>
      </c>
      <c r="D45" s="20" t="s">
        <v>69</v>
      </c>
      <c r="E45" s="20" t="s">
        <v>138</v>
      </c>
      <c r="F45" s="20" t="s">
        <v>194</v>
      </c>
      <c r="G45" s="20" t="s">
        <v>239</v>
      </c>
      <c r="H45" s="20" t="s">
        <v>272</v>
      </c>
      <c r="I45" s="20" t="s">
        <v>396</v>
      </c>
      <c r="J45" s="20" t="s">
        <v>327</v>
      </c>
      <c r="K45" s="14" t="s">
        <v>396</v>
      </c>
      <c r="L45" s="20">
        <v>2</v>
      </c>
      <c r="M45" s="14">
        <f t="shared" si="2"/>
        <v>20</v>
      </c>
      <c r="N45" s="20">
        <v>40</v>
      </c>
      <c r="O45" s="43" t="s">
        <v>402</v>
      </c>
      <c r="P45" s="21">
        <v>2.46E-2</v>
      </c>
      <c r="Q45" s="21">
        <f t="shared" ref="Q45:Q77" si="3">P45*N45</f>
        <v>0.98399999999999999</v>
      </c>
      <c r="R45" s="20"/>
    </row>
    <row r="46" spans="1:18" x14ac:dyDescent="0.25">
      <c r="A46" s="1"/>
      <c r="B46" s="16">
        <f>ROW(B46) - ROW($B$7)</f>
        <v>39</v>
      </c>
      <c r="C46" s="22"/>
      <c r="D46" s="14" t="s">
        <v>70</v>
      </c>
      <c r="E46" s="14" t="s">
        <v>139</v>
      </c>
      <c r="F46" s="14" t="s">
        <v>195</v>
      </c>
      <c r="G46" s="14" t="s">
        <v>240</v>
      </c>
      <c r="H46" s="14" t="s">
        <v>266</v>
      </c>
      <c r="I46" s="20" t="s">
        <v>396</v>
      </c>
      <c r="J46" s="14" t="s">
        <v>395</v>
      </c>
      <c r="K46" s="14" t="s">
        <v>368</v>
      </c>
      <c r="L46" s="14">
        <v>1</v>
      </c>
      <c r="M46" s="14">
        <f t="shared" si="2"/>
        <v>10</v>
      </c>
      <c r="N46" s="14">
        <v>20</v>
      </c>
      <c r="O46" s="43" t="s">
        <v>402</v>
      </c>
      <c r="P46" s="15">
        <v>2.3099999999999999E-2</v>
      </c>
      <c r="Q46" s="15">
        <f t="shared" si="3"/>
        <v>0.46199999999999997</v>
      </c>
      <c r="R46" s="14"/>
    </row>
    <row r="47" spans="1:18" x14ac:dyDescent="0.25">
      <c r="A47" s="1"/>
      <c r="B47" s="17">
        <f t="shared" si="1"/>
        <v>40</v>
      </c>
      <c r="C47" s="23" t="s">
        <v>21</v>
      </c>
      <c r="D47" s="20" t="s">
        <v>71</v>
      </c>
      <c r="E47" s="20" t="s">
        <v>140</v>
      </c>
      <c r="F47" s="20" t="s">
        <v>195</v>
      </c>
      <c r="G47" s="20" t="s">
        <v>241</v>
      </c>
      <c r="H47" s="20" t="s">
        <v>266</v>
      </c>
      <c r="I47" s="20" t="s">
        <v>396</v>
      </c>
      <c r="J47" s="20" t="s">
        <v>328</v>
      </c>
      <c r="K47" s="20" t="s">
        <v>369</v>
      </c>
      <c r="L47" s="20">
        <v>1</v>
      </c>
      <c r="M47" s="14">
        <f t="shared" si="2"/>
        <v>10</v>
      </c>
      <c r="N47" s="20">
        <v>100</v>
      </c>
      <c r="O47" s="43" t="s">
        <v>402</v>
      </c>
      <c r="P47" s="21">
        <v>1.1999999999999999E-3</v>
      </c>
      <c r="Q47" s="21">
        <f t="shared" si="3"/>
        <v>0.12</v>
      </c>
      <c r="R47" s="20"/>
    </row>
    <row r="48" spans="1:18" x14ac:dyDescent="0.25">
      <c r="A48" s="1"/>
      <c r="B48" s="16">
        <f>ROW(B48) - ROW($B$7)</f>
        <v>41</v>
      </c>
      <c r="C48" s="22" t="s">
        <v>21</v>
      </c>
      <c r="D48" s="14" t="s">
        <v>72</v>
      </c>
      <c r="E48" s="14" t="s">
        <v>141</v>
      </c>
      <c r="F48" s="14" t="s">
        <v>196</v>
      </c>
      <c r="G48" s="14" t="s">
        <v>242</v>
      </c>
      <c r="H48" s="14" t="s">
        <v>266</v>
      </c>
      <c r="I48" s="20" t="s">
        <v>396</v>
      </c>
      <c r="J48" s="14" t="s">
        <v>329</v>
      </c>
      <c r="K48" s="14" t="s">
        <v>370</v>
      </c>
      <c r="L48" s="14">
        <v>1</v>
      </c>
      <c r="M48" s="14">
        <f t="shared" si="2"/>
        <v>10</v>
      </c>
      <c r="N48" s="14">
        <v>20</v>
      </c>
      <c r="O48" s="43" t="s">
        <v>402</v>
      </c>
      <c r="P48" s="15">
        <v>2.0799999999999999E-2</v>
      </c>
      <c r="Q48" s="15">
        <f t="shared" si="3"/>
        <v>0.41599999999999998</v>
      </c>
      <c r="R48" s="14"/>
    </row>
    <row r="49" spans="1:18" ht="24" x14ac:dyDescent="0.25">
      <c r="A49" s="1"/>
      <c r="B49" s="17">
        <f t="shared" si="1"/>
        <v>42</v>
      </c>
      <c r="C49" s="23" t="s">
        <v>21</v>
      </c>
      <c r="D49" s="20" t="s">
        <v>73</v>
      </c>
      <c r="E49" s="20" t="s">
        <v>142</v>
      </c>
      <c r="F49" s="20" t="s">
        <v>195</v>
      </c>
      <c r="G49" s="20" t="s">
        <v>243</v>
      </c>
      <c r="H49" s="20" t="s">
        <v>266</v>
      </c>
      <c r="I49" s="20" t="s">
        <v>396</v>
      </c>
      <c r="J49" s="20" t="s">
        <v>330</v>
      </c>
      <c r="K49" s="20" t="s">
        <v>371</v>
      </c>
      <c r="L49" s="20">
        <v>12</v>
      </c>
      <c r="M49" s="14">
        <f t="shared" si="2"/>
        <v>120</v>
      </c>
      <c r="N49" s="20">
        <v>200</v>
      </c>
      <c r="O49" s="43" t="s">
        <v>402</v>
      </c>
      <c r="P49" s="21">
        <v>1E-3</v>
      </c>
      <c r="Q49" s="21">
        <f t="shared" si="3"/>
        <v>0.2</v>
      </c>
      <c r="R49" s="20"/>
    </row>
    <row r="50" spans="1:18" x14ac:dyDescent="0.25">
      <c r="A50" s="1"/>
      <c r="B50" s="16">
        <f>ROW(B50) - ROW($B$7)</f>
        <v>43</v>
      </c>
      <c r="C50" s="22" t="s">
        <v>21</v>
      </c>
      <c r="D50" s="14" t="s">
        <v>74</v>
      </c>
      <c r="E50" s="14" t="s">
        <v>143</v>
      </c>
      <c r="F50" s="14" t="s">
        <v>196</v>
      </c>
      <c r="G50" s="14" t="s">
        <v>244</v>
      </c>
      <c r="H50" s="14" t="s">
        <v>266</v>
      </c>
      <c r="I50" s="20" t="s">
        <v>396</v>
      </c>
      <c r="J50" s="14" t="s">
        <v>331</v>
      </c>
      <c r="K50" s="14" t="s">
        <v>372</v>
      </c>
      <c r="L50" s="14">
        <v>2</v>
      </c>
      <c r="M50" s="14">
        <f t="shared" si="2"/>
        <v>20</v>
      </c>
      <c r="N50" s="14">
        <v>100</v>
      </c>
      <c r="O50" s="43" t="s">
        <v>402</v>
      </c>
      <c r="P50" s="15">
        <v>5.9999999999999995E-4</v>
      </c>
      <c r="Q50" s="15">
        <f t="shared" si="3"/>
        <v>0.06</v>
      </c>
      <c r="R50" s="14"/>
    </row>
    <row r="51" spans="1:18" x14ac:dyDescent="0.25">
      <c r="A51" s="1"/>
      <c r="B51" s="17">
        <f t="shared" si="1"/>
        <v>44</v>
      </c>
      <c r="C51" s="23" t="s">
        <v>21</v>
      </c>
      <c r="D51" s="20" t="s">
        <v>75</v>
      </c>
      <c r="E51" s="20" t="s">
        <v>144</v>
      </c>
      <c r="F51" s="20" t="s">
        <v>195</v>
      </c>
      <c r="G51" s="20" t="s">
        <v>245</v>
      </c>
      <c r="H51" s="20" t="s">
        <v>266</v>
      </c>
      <c r="I51" s="20"/>
      <c r="J51" s="20" t="s">
        <v>332</v>
      </c>
      <c r="K51" s="20" t="s">
        <v>373</v>
      </c>
      <c r="L51" s="20">
        <v>8</v>
      </c>
      <c r="M51" s="14">
        <f t="shared" si="2"/>
        <v>80</v>
      </c>
      <c r="N51" s="20">
        <v>100</v>
      </c>
      <c r="O51" s="43" t="s">
        <v>402</v>
      </c>
      <c r="P51" s="21">
        <v>1.1999999999999999E-3</v>
      </c>
      <c r="Q51" s="21">
        <f t="shared" si="3"/>
        <v>0.12</v>
      </c>
      <c r="R51" s="20"/>
    </row>
    <row r="52" spans="1:18" x14ac:dyDescent="0.25">
      <c r="A52" s="1"/>
      <c r="B52" s="16">
        <f>ROW(B52) - ROW($B$7)</f>
        <v>45</v>
      </c>
      <c r="C52" s="22" t="s">
        <v>21</v>
      </c>
      <c r="D52" s="14" t="s">
        <v>76</v>
      </c>
      <c r="E52" s="14" t="s">
        <v>145</v>
      </c>
      <c r="F52" s="14" t="s">
        <v>197</v>
      </c>
      <c r="G52" s="14" t="s">
        <v>246</v>
      </c>
      <c r="H52" s="14" t="s">
        <v>266</v>
      </c>
      <c r="I52" s="14"/>
      <c r="J52" s="14" t="s">
        <v>333</v>
      </c>
      <c r="K52" s="14" t="s">
        <v>374</v>
      </c>
      <c r="L52" s="14">
        <v>2</v>
      </c>
      <c r="M52" s="14">
        <f t="shared" si="2"/>
        <v>20</v>
      </c>
      <c r="N52" s="14">
        <v>100</v>
      </c>
      <c r="O52" s="43" t="s">
        <v>402</v>
      </c>
      <c r="P52" s="15">
        <v>8.9999999999999998E-4</v>
      </c>
      <c r="Q52" s="15">
        <f t="shared" si="3"/>
        <v>0.09</v>
      </c>
      <c r="R52" s="14"/>
    </row>
    <row r="53" spans="1:18" x14ac:dyDescent="0.25">
      <c r="A53" s="1"/>
      <c r="B53" s="17">
        <f t="shared" si="1"/>
        <v>46</v>
      </c>
      <c r="C53" s="22" t="s">
        <v>21</v>
      </c>
      <c r="D53" s="20" t="s">
        <v>77</v>
      </c>
      <c r="E53" s="20" t="s">
        <v>146</v>
      </c>
      <c r="F53" s="20" t="s">
        <v>195</v>
      </c>
      <c r="G53" s="20" t="s">
        <v>247</v>
      </c>
      <c r="H53" s="20" t="s">
        <v>266</v>
      </c>
      <c r="I53" s="20"/>
      <c r="J53" s="20" t="s">
        <v>334</v>
      </c>
      <c r="K53" s="20" t="s">
        <v>375</v>
      </c>
      <c r="L53" s="20">
        <v>4</v>
      </c>
      <c r="M53" s="14">
        <f t="shared" si="2"/>
        <v>40</v>
      </c>
      <c r="N53" s="20">
        <v>100</v>
      </c>
      <c r="O53" s="43" t="s">
        <v>402</v>
      </c>
      <c r="P53" s="21">
        <v>1.2999999999999999E-3</v>
      </c>
      <c r="Q53" s="21">
        <f t="shared" si="3"/>
        <v>0.13</v>
      </c>
      <c r="R53" s="20"/>
    </row>
    <row r="54" spans="1:18" x14ac:dyDescent="0.25">
      <c r="A54" s="1"/>
      <c r="B54" s="16">
        <f>ROW(B54) - ROW($B$7)</f>
        <v>47</v>
      </c>
      <c r="C54" s="22" t="s">
        <v>21</v>
      </c>
      <c r="D54" s="14" t="s">
        <v>78</v>
      </c>
      <c r="E54" s="14" t="s">
        <v>147</v>
      </c>
      <c r="F54" s="14" t="s">
        <v>196</v>
      </c>
      <c r="G54" s="42" t="s">
        <v>248</v>
      </c>
      <c r="H54" s="14" t="s">
        <v>266</v>
      </c>
      <c r="I54" s="14" t="s">
        <v>410</v>
      </c>
      <c r="J54" s="14" t="s">
        <v>411</v>
      </c>
      <c r="K54" s="14" t="s">
        <v>376</v>
      </c>
      <c r="L54" s="14">
        <v>1</v>
      </c>
      <c r="M54" s="14">
        <f t="shared" si="2"/>
        <v>10</v>
      </c>
      <c r="N54" s="14">
        <v>100</v>
      </c>
      <c r="O54" s="43" t="s">
        <v>402</v>
      </c>
      <c r="P54" s="15">
        <v>2E-3</v>
      </c>
      <c r="Q54" s="15">
        <f t="shared" si="3"/>
        <v>0.2</v>
      </c>
      <c r="R54" s="14"/>
    </row>
    <row r="55" spans="1:18" ht="25.5" x14ac:dyDescent="0.25">
      <c r="A55" s="1"/>
      <c r="B55" s="17">
        <f t="shared" si="1"/>
        <v>48</v>
      </c>
      <c r="C55" s="23" t="s">
        <v>22</v>
      </c>
      <c r="D55" s="20" t="s">
        <v>79</v>
      </c>
      <c r="E55" s="20" t="s">
        <v>148</v>
      </c>
      <c r="F55" s="20" t="s">
        <v>198</v>
      </c>
      <c r="G55" s="47" t="s">
        <v>249</v>
      </c>
      <c r="H55" s="20" t="s">
        <v>286</v>
      </c>
      <c r="I55" s="20" t="s">
        <v>413</v>
      </c>
      <c r="J55" s="20" t="s">
        <v>412</v>
      </c>
      <c r="K55" s="20" t="s">
        <v>377</v>
      </c>
      <c r="L55" s="20">
        <v>2</v>
      </c>
      <c r="M55" s="14">
        <f t="shared" si="2"/>
        <v>20</v>
      </c>
      <c r="N55" s="20">
        <v>25</v>
      </c>
      <c r="O55" s="43" t="s">
        <v>402</v>
      </c>
      <c r="P55" s="21">
        <v>8.0100000000000005E-2</v>
      </c>
      <c r="Q55" s="21">
        <f t="shared" si="3"/>
        <v>2.0024999999999999</v>
      </c>
      <c r="R55" s="20"/>
    </row>
    <row r="56" spans="1:18" x14ac:dyDescent="0.25">
      <c r="A56" s="1"/>
      <c r="B56" s="16">
        <f>ROW(B56) - ROW($B$7)</f>
        <v>49</v>
      </c>
      <c r="C56" s="23" t="s">
        <v>21</v>
      </c>
      <c r="D56" s="14" t="s">
        <v>80</v>
      </c>
      <c r="E56" s="14" t="s">
        <v>149</v>
      </c>
      <c r="F56" s="14" t="s">
        <v>195</v>
      </c>
      <c r="G56" s="14" t="s">
        <v>250</v>
      </c>
      <c r="H56" s="14" t="s">
        <v>266</v>
      </c>
      <c r="I56" s="14"/>
      <c r="J56" s="14" t="s">
        <v>335</v>
      </c>
      <c r="K56" s="14" t="s">
        <v>378</v>
      </c>
      <c r="L56" s="14">
        <v>2</v>
      </c>
      <c r="M56" s="14">
        <f t="shared" si="2"/>
        <v>20</v>
      </c>
      <c r="N56" s="14">
        <v>100</v>
      </c>
      <c r="O56" s="43" t="s">
        <v>402</v>
      </c>
      <c r="P56" s="15">
        <v>1.1999999999999999E-3</v>
      </c>
      <c r="Q56" s="15">
        <f t="shared" si="3"/>
        <v>0.12</v>
      </c>
      <c r="R56" s="14"/>
    </row>
    <row r="57" spans="1:18" x14ac:dyDescent="0.25">
      <c r="A57" s="1"/>
      <c r="B57" s="17">
        <f t="shared" si="1"/>
        <v>50</v>
      </c>
      <c r="C57" s="23" t="s">
        <v>21</v>
      </c>
      <c r="D57" s="20" t="s">
        <v>81</v>
      </c>
      <c r="E57" s="20" t="s">
        <v>150</v>
      </c>
      <c r="F57" s="20" t="s">
        <v>195</v>
      </c>
      <c r="G57" s="20" t="s">
        <v>251</v>
      </c>
      <c r="H57" s="20" t="s">
        <v>266</v>
      </c>
      <c r="I57" s="20"/>
      <c r="J57" s="20" t="s">
        <v>336</v>
      </c>
      <c r="K57" s="20" t="s">
        <v>379</v>
      </c>
      <c r="L57" s="20">
        <v>4</v>
      </c>
      <c r="M57" s="14">
        <f t="shared" si="2"/>
        <v>40</v>
      </c>
      <c r="N57" s="20">
        <v>60</v>
      </c>
      <c r="O57" s="43" t="s">
        <v>402</v>
      </c>
      <c r="P57" s="21">
        <v>2.0899999999999998E-2</v>
      </c>
      <c r="Q57" s="21">
        <f t="shared" si="3"/>
        <v>1.254</v>
      </c>
      <c r="R57" s="20"/>
    </row>
    <row r="58" spans="1:18" x14ac:dyDescent="0.25">
      <c r="A58" s="1"/>
      <c r="B58" s="16">
        <f>ROW(B58) - ROW($B$7)</f>
        <v>51</v>
      </c>
      <c r="C58" s="22" t="s">
        <v>21</v>
      </c>
      <c r="D58" s="14" t="s">
        <v>82</v>
      </c>
      <c r="E58" s="14" t="s">
        <v>151</v>
      </c>
      <c r="F58" s="14" t="s">
        <v>195</v>
      </c>
      <c r="G58" s="14" t="s">
        <v>252</v>
      </c>
      <c r="H58" s="14" t="s">
        <v>266</v>
      </c>
      <c r="I58" s="14"/>
      <c r="J58" s="14" t="s">
        <v>337</v>
      </c>
      <c r="K58" s="14" t="s">
        <v>380</v>
      </c>
      <c r="L58" s="14">
        <v>1</v>
      </c>
      <c r="M58" s="14">
        <f t="shared" si="2"/>
        <v>10</v>
      </c>
      <c r="N58" s="14">
        <v>15</v>
      </c>
      <c r="O58" s="43" t="s">
        <v>402</v>
      </c>
      <c r="P58" s="15">
        <v>0.13650000000000001</v>
      </c>
      <c r="Q58" s="15">
        <f t="shared" si="3"/>
        <v>2.0475000000000003</v>
      </c>
      <c r="R58" s="14"/>
    </row>
    <row r="59" spans="1:18" x14ac:dyDescent="0.25">
      <c r="A59" s="1"/>
      <c r="B59" s="17">
        <f t="shared" si="1"/>
        <v>52</v>
      </c>
      <c r="C59" s="23" t="s">
        <v>21</v>
      </c>
      <c r="D59" s="20" t="s">
        <v>83</v>
      </c>
      <c r="E59" s="20" t="s">
        <v>152</v>
      </c>
      <c r="F59" s="20" t="s">
        <v>195</v>
      </c>
      <c r="G59" s="47" t="s">
        <v>253</v>
      </c>
      <c r="H59" s="20" t="s">
        <v>266</v>
      </c>
      <c r="I59" s="20" t="s">
        <v>415</v>
      </c>
      <c r="J59" s="20" t="s">
        <v>414</v>
      </c>
      <c r="K59" s="20" t="s">
        <v>381</v>
      </c>
      <c r="L59" s="20">
        <v>3</v>
      </c>
      <c r="M59" s="14">
        <f t="shared" si="2"/>
        <v>30</v>
      </c>
      <c r="N59" s="20">
        <v>100</v>
      </c>
      <c r="O59" s="43" t="s">
        <v>402</v>
      </c>
      <c r="P59" s="21">
        <v>1E-3</v>
      </c>
      <c r="Q59" s="21">
        <f t="shared" si="3"/>
        <v>0.1</v>
      </c>
      <c r="R59" s="20"/>
    </row>
    <row r="60" spans="1:18" x14ac:dyDescent="0.25">
      <c r="A60" s="1"/>
      <c r="B60" s="16">
        <f>ROW(B60) - ROW($B$7)</f>
        <v>53</v>
      </c>
      <c r="C60" s="22" t="s">
        <v>21</v>
      </c>
      <c r="D60" s="14" t="s">
        <v>84</v>
      </c>
      <c r="E60" s="14" t="s">
        <v>153</v>
      </c>
      <c r="F60" s="14" t="s">
        <v>195</v>
      </c>
      <c r="G60" s="14" t="s">
        <v>254</v>
      </c>
      <c r="H60" s="14" t="s">
        <v>266</v>
      </c>
      <c r="I60" s="14" t="s">
        <v>396</v>
      </c>
      <c r="J60" s="14" t="s">
        <v>338</v>
      </c>
      <c r="K60" s="14" t="s">
        <v>382</v>
      </c>
      <c r="L60" s="14">
        <v>2</v>
      </c>
      <c r="M60" s="14">
        <f t="shared" si="2"/>
        <v>20</v>
      </c>
      <c r="N60" s="14">
        <v>100</v>
      </c>
      <c r="O60" s="43" t="s">
        <v>402</v>
      </c>
      <c r="P60" s="15">
        <v>1.1999999999999999E-3</v>
      </c>
      <c r="Q60" s="15">
        <f t="shared" si="3"/>
        <v>0.12</v>
      </c>
      <c r="R60" s="14"/>
    </row>
    <row r="61" spans="1:18" x14ac:dyDescent="0.25">
      <c r="A61" s="1"/>
      <c r="B61" s="17">
        <f t="shared" si="1"/>
        <v>54</v>
      </c>
      <c r="C61" s="23" t="s">
        <v>21</v>
      </c>
      <c r="D61" s="20" t="s">
        <v>85</v>
      </c>
      <c r="E61" s="20" t="s">
        <v>154</v>
      </c>
      <c r="F61" s="20" t="s">
        <v>195</v>
      </c>
      <c r="G61" s="20" t="s">
        <v>255</v>
      </c>
      <c r="H61" s="20" t="s">
        <v>266</v>
      </c>
      <c r="I61" s="20"/>
      <c r="J61" s="20" t="s">
        <v>339</v>
      </c>
      <c r="K61" s="20" t="s">
        <v>383</v>
      </c>
      <c r="L61" s="20">
        <v>1</v>
      </c>
      <c r="M61" s="14">
        <f t="shared" si="2"/>
        <v>10</v>
      </c>
      <c r="N61" s="20">
        <v>100</v>
      </c>
      <c r="O61" s="43" t="s">
        <v>402</v>
      </c>
      <c r="P61" s="21">
        <v>1.1999999999999999E-3</v>
      </c>
      <c r="Q61" s="21">
        <f t="shared" si="3"/>
        <v>0.12</v>
      </c>
      <c r="R61" s="20"/>
    </row>
    <row r="62" spans="1:18" ht="48" x14ac:dyDescent="0.25">
      <c r="A62" s="1"/>
      <c r="B62" s="16">
        <f>ROW(B62) - ROW($B$7)</f>
        <v>55</v>
      </c>
      <c r="C62" s="22" t="s">
        <v>23</v>
      </c>
      <c r="D62" s="14" t="s">
        <v>86</v>
      </c>
      <c r="E62" s="14" t="s">
        <v>155</v>
      </c>
      <c r="F62" s="14" t="s">
        <v>403</v>
      </c>
      <c r="G62" s="14" t="s">
        <v>199</v>
      </c>
      <c r="H62" s="14" t="s">
        <v>287</v>
      </c>
      <c r="I62" s="14"/>
      <c r="J62" s="14" t="s">
        <v>340</v>
      </c>
      <c r="K62" s="14" t="s">
        <v>396</v>
      </c>
      <c r="L62" s="14">
        <v>2</v>
      </c>
      <c r="M62" s="14">
        <f t="shared" si="2"/>
        <v>20</v>
      </c>
      <c r="N62" s="14">
        <v>40</v>
      </c>
      <c r="O62" s="43" t="s">
        <v>402</v>
      </c>
      <c r="P62" s="15">
        <v>1.9699999999999999E-2</v>
      </c>
      <c r="Q62" s="15">
        <f t="shared" si="3"/>
        <v>0.78799999999999992</v>
      </c>
      <c r="R62" s="14"/>
    </row>
    <row r="63" spans="1:18" x14ac:dyDescent="0.25">
      <c r="A63" s="1"/>
      <c r="B63" s="17">
        <f t="shared" si="1"/>
        <v>56</v>
      </c>
      <c r="C63" s="23" t="s">
        <v>24</v>
      </c>
      <c r="D63" s="20" t="s">
        <v>87</v>
      </c>
      <c r="E63" s="20" t="s">
        <v>156</v>
      </c>
      <c r="F63" s="14" t="s">
        <v>403</v>
      </c>
      <c r="G63" s="20" t="s">
        <v>200</v>
      </c>
      <c r="H63" s="20" t="s">
        <v>288</v>
      </c>
      <c r="I63" s="20" t="s">
        <v>396</v>
      </c>
      <c r="J63" s="20" t="s">
        <v>396</v>
      </c>
      <c r="K63" s="14" t="s">
        <v>396</v>
      </c>
      <c r="L63" s="20">
        <v>1</v>
      </c>
      <c r="M63" s="14">
        <f t="shared" si="2"/>
        <v>10</v>
      </c>
      <c r="N63" s="20">
        <v>11</v>
      </c>
      <c r="O63" s="43" t="s">
        <v>421</v>
      </c>
      <c r="P63" s="21">
        <v>36.279000000000003</v>
      </c>
      <c r="Q63" s="21">
        <f t="shared" si="3"/>
        <v>399.06900000000002</v>
      </c>
      <c r="R63" s="20"/>
    </row>
    <row r="64" spans="1:18" ht="48" x14ac:dyDescent="0.25">
      <c r="A64" s="1"/>
      <c r="B64" s="16">
        <f>ROW(B64) - ROW($B$7)</f>
        <v>57</v>
      </c>
      <c r="C64" s="22" t="s">
        <v>25</v>
      </c>
      <c r="D64" s="14" t="s">
        <v>88</v>
      </c>
      <c r="E64" s="14" t="s">
        <v>157</v>
      </c>
      <c r="F64" s="14" t="s">
        <v>403</v>
      </c>
      <c r="G64" s="14" t="s">
        <v>256</v>
      </c>
      <c r="H64" s="14" t="s">
        <v>287</v>
      </c>
      <c r="I64" s="14"/>
      <c r="J64" s="14" t="s">
        <v>341</v>
      </c>
      <c r="K64" s="14" t="s">
        <v>396</v>
      </c>
      <c r="L64" s="14">
        <v>1</v>
      </c>
      <c r="M64" s="14">
        <f t="shared" si="2"/>
        <v>10</v>
      </c>
      <c r="N64" s="14">
        <v>11</v>
      </c>
      <c r="O64" s="43" t="s">
        <v>402</v>
      </c>
      <c r="P64" s="15">
        <v>0.26490000000000002</v>
      </c>
      <c r="Q64" s="15">
        <f t="shared" si="3"/>
        <v>2.9139000000000004</v>
      </c>
      <c r="R64" s="14"/>
    </row>
    <row r="65" spans="1:18" ht="48" x14ac:dyDescent="0.25">
      <c r="A65" s="1"/>
      <c r="B65" s="17">
        <f t="shared" si="1"/>
        <v>58</v>
      </c>
      <c r="C65" s="23" t="s">
        <v>23</v>
      </c>
      <c r="D65" s="20" t="s">
        <v>89</v>
      </c>
      <c r="E65" s="20" t="s">
        <v>158</v>
      </c>
      <c r="F65" s="14" t="s">
        <v>403</v>
      </c>
      <c r="G65" s="20" t="s">
        <v>201</v>
      </c>
      <c r="H65" s="20" t="s">
        <v>289</v>
      </c>
      <c r="I65" s="20"/>
      <c r="J65" s="20" t="s">
        <v>342</v>
      </c>
      <c r="K65" s="14" t="s">
        <v>396</v>
      </c>
      <c r="L65" s="20">
        <v>1</v>
      </c>
      <c r="M65" s="14">
        <f t="shared" si="2"/>
        <v>10</v>
      </c>
      <c r="N65" s="20">
        <v>15</v>
      </c>
      <c r="O65" s="43" t="s">
        <v>402</v>
      </c>
      <c r="P65" s="21">
        <v>7.6499999999999999E-2</v>
      </c>
      <c r="Q65" s="21">
        <f t="shared" si="3"/>
        <v>1.1475</v>
      </c>
      <c r="R65" s="20"/>
    </row>
    <row r="66" spans="1:18" ht="36" x14ac:dyDescent="0.25">
      <c r="A66" s="1"/>
      <c r="B66" s="16">
        <f>ROW(B66) - ROW($B$7)</f>
        <v>59</v>
      </c>
      <c r="C66" s="22" t="s">
        <v>26</v>
      </c>
      <c r="D66" s="14" t="s">
        <v>90</v>
      </c>
      <c r="E66" s="14" t="s">
        <v>159</v>
      </c>
      <c r="F66" s="14" t="s">
        <v>403</v>
      </c>
      <c r="G66" s="14" t="s">
        <v>202</v>
      </c>
      <c r="H66" s="14" t="s">
        <v>289</v>
      </c>
      <c r="I66" s="14"/>
      <c r="J66" s="14" t="s">
        <v>343</v>
      </c>
      <c r="K66" s="14" t="s">
        <v>396</v>
      </c>
      <c r="L66" s="14">
        <v>1</v>
      </c>
      <c r="M66" s="14">
        <f t="shared" si="2"/>
        <v>10</v>
      </c>
      <c r="N66" s="14">
        <v>20</v>
      </c>
      <c r="O66" s="43" t="s">
        <v>402</v>
      </c>
      <c r="P66" s="15">
        <v>4.1500000000000002E-2</v>
      </c>
      <c r="Q66" s="15">
        <f t="shared" si="3"/>
        <v>0.83000000000000007</v>
      </c>
      <c r="R66" s="14"/>
    </row>
    <row r="67" spans="1:18" x14ac:dyDescent="0.25">
      <c r="A67" s="1"/>
      <c r="B67" s="17">
        <f t="shared" si="1"/>
        <v>60</v>
      </c>
      <c r="C67" s="23" t="s">
        <v>27</v>
      </c>
      <c r="D67" s="20" t="s">
        <v>91</v>
      </c>
      <c r="E67" s="20" t="s">
        <v>160</v>
      </c>
      <c r="F67" s="20" t="s">
        <v>203</v>
      </c>
      <c r="G67" s="20" t="s">
        <v>257</v>
      </c>
      <c r="H67" s="20" t="s">
        <v>290</v>
      </c>
      <c r="I67" s="20"/>
      <c r="J67" s="20" t="s">
        <v>344</v>
      </c>
      <c r="K67" s="14" t="s">
        <v>396</v>
      </c>
      <c r="L67" s="20">
        <v>1</v>
      </c>
      <c r="M67" s="14">
        <f t="shared" si="2"/>
        <v>10</v>
      </c>
      <c r="N67" s="20">
        <v>11</v>
      </c>
      <c r="O67" s="43" t="s">
        <v>402</v>
      </c>
      <c r="P67" s="21">
        <v>0.49390000000000001</v>
      </c>
      <c r="Q67" s="21">
        <f t="shared" si="3"/>
        <v>5.4329000000000001</v>
      </c>
      <c r="R67" s="20"/>
    </row>
    <row r="68" spans="1:18" x14ac:dyDescent="0.25">
      <c r="A68" s="1"/>
      <c r="B68" s="16">
        <f>ROW(B68) - ROW($B$7)</f>
        <v>61</v>
      </c>
      <c r="C68" s="22" t="s">
        <v>27</v>
      </c>
      <c r="D68" s="14" t="s">
        <v>92</v>
      </c>
      <c r="E68" s="14" t="s">
        <v>161</v>
      </c>
      <c r="F68" s="14" t="s">
        <v>204</v>
      </c>
      <c r="G68" s="14" t="s">
        <v>258</v>
      </c>
      <c r="H68" s="14" t="s">
        <v>291</v>
      </c>
      <c r="I68" s="14"/>
      <c r="J68" s="14" t="s">
        <v>345</v>
      </c>
      <c r="K68" s="14" t="s">
        <v>396</v>
      </c>
      <c r="L68" s="14">
        <v>1</v>
      </c>
      <c r="M68" s="14">
        <f t="shared" si="2"/>
        <v>10</v>
      </c>
      <c r="N68" s="14">
        <v>15</v>
      </c>
      <c r="O68" s="43" t="s">
        <v>402</v>
      </c>
      <c r="P68" s="15">
        <v>0.17169999999999999</v>
      </c>
      <c r="Q68" s="15">
        <f t="shared" si="3"/>
        <v>2.5754999999999999</v>
      </c>
      <c r="R68" s="14"/>
    </row>
    <row r="69" spans="1:18" x14ac:dyDescent="0.25">
      <c r="A69" s="1"/>
      <c r="B69" s="17">
        <f t="shared" si="1"/>
        <v>62</v>
      </c>
      <c r="C69" s="23" t="s">
        <v>28</v>
      </c>
      <c r="D69" s="20" t="s">
        <v>93</v>
      </c>
      <c r="E69" s="20" t="s">
        <v>162</v>
      </c>
      <c r="F69" s="20" t="s">
        <v>205</v>
      </c>
      <c r="G69" s="20" t="s">
        <v>259</v>
      </c>
      <c r="H69" s="20" t="s">
        <v>292</v>
      </c>
      <c r="I69" s="20"/>
      <c r="J69" s="20" t="s">
        <v>346</v>
      </c>
      <c r="K69" s="14" t="s">
        <v>396</v>
      </c>
      <c r="L69" s="20">
        <v>1</v>
      </c>
      <c r="M69" s="14">
        <f t="shared" si="2"/>
        <v>10</v>
      </c>
      <c r="N69" s="20">
        <v>11</v>
      </c>
      <c r="O69" s="43" t="s">
        <v>402</v>
      </c>
      <c r="P69" s="21">
        <v>4.3540999999999999</v>
      </c>
      <c r="Q69" s="21">
        <f t="shared" si="3"/>
        <v>47.895099999999999</v>
      </c>
      <c r="R69" s="20"/>
    </row>
    <row r="70" spans="1:18" x14ac:dyDescent="0.25">
      <c r="A70" s="1"/>
      <c r="B70" s="16">
        <f>ROW(B70) - ROW($B$7)</f>
        <v>63</v>
      </c>
      <c r="C70" s="22" t="s">
        <v>27</v>
      </c>
      <c r="D70" s="14" t="s">
        <v>94</v>
      </c>
      <c r="E70" s="14" t="s">
        <v>163</v>
      </c>
      <c r="F70" s="14" t="s">
        <v>206</v>
      </c>
      <c r="G70" s="14" t="s">
        <v>260</v>
      </c>
      <c r="H70" s="14" t="s">
        <v>293</v>
      </c>
      <c r="I70" s="14"/>
      <c r="J70" s="14" t="s">
        <v>347</v>
      </c>
      <c r="K70" s="14" t="s">
        <v>396</v>
      </c>
      <c r="L70" s="14">
        <v>1</v>
      </c>
      <c r="M70" s="14">
        <f t="shared" si="2"/>
        <v>10</v>
      </c>
      <c r="N70" s="14">
        <v>11</v>
      </c>
      <c r="O70" s="43" t="s">
        <v>402</v>
      </c>
      <c r="P70" s="15">
        <v>4.0083000000000002</v>
      </c>
      <c r="Q70" s="15">
        <f t="shared" si="3"/>
        <v>44.091300000000004</v>
      </c>
      <c r="R70" s="14"/>
    </row>
    <row r="71" spans="1:18" ht="24" x14ac:dyDescent="0.25">
      <c r="A71" s="1"/>
      <c r="B71" s="17">
        <f t="shared" si="1"/>
        <v>64</v>
      </c>
      <c r="C71" s="23" t="s">
        <v>29</v>
      </c>
      <c r="D71" s="20" t="s">
        <v>95</v>
      </c>
      <c r="E71" s="20" t="s">
        <v>164</v>
      </c>
      <c r="F71" s="20" t="s">
        <v>207</v>
      </c>
      <c r="G71" s="20" t="s">
        <v>261</v>
      </c>
      <c r="H71" s="20" t="s">
        <v>294</v>
      </c>
      <c r="I71" s="20"/>
      <c r="J71" s="20" t="s">
        <v>348</v>
      </c>
      <c r="K71" s="14" t="s">
        <v>396</v>
      </c>
      <c r="L71" s="20">
        <v>4</v>
      </c>
      <c r="M71" s="14">
        <f t="shared" si="2"/>
        <v>40</v>
      </c>
      <c r="N71" s="20">
        <v>41</v>
      </c>
      <c r="O71" s="43" t="s">
        <v>421</v>
      </c>
      <c r="P71" s="21">
        <v>0.81884999999999997</v>
      </c>
      <c r="Q71" s="21">
        <f t="shared" si="3"/>
        <v>33.572849999999995</v>
      </c>
      <c r="R71" s="20"/>
    </row>
    <row r="72" spans="1:18" x14ac:dyDescent="0.25">
      <c r="A72" s="1"/>
      <c r="B72" s="16">
        <f>ROW(B72) - ROW($B$7)</f>
        <v>65</v>
      </c>
      <c r="C72" s="22" t="s">
        <v>27</v>
      </c>
      <c r="D72" s="14" t="s">
        <v>96</v>
      </c>
      <c r="E72" s="14" t="s">
        <v>165</v>
      </c>
      <c r="F72" s="14" t="s">
        <v>208</v>
      </c>
      <c r="G72" s="14" t="s">
        <v>262</v>
      </c>
      <c r="H72" s="14" t="s">
        <v>290</v>
      </c>
      <c r="I72" s="14"/>
      <c r="J72" s="14" t="s">
        <v>349</v>
      </c>
      <c r="K72" s="14" t="s">
        <v>396</v>
      </c>
      <c r="L72" s="14">
        <v>1</v>
      </c>
      <c r="M72" s="14">
        <f t="shared" si="2"/>
        <v>10</v>
      </c>
      <c r="N72" s="14">
        <v>15</v>
      </c>
      <c r="O72" s="43" t="s">
        <v>402</v>
      </c>
      <c r="P72" s="15">
        <v>0.21360000000000001</v>
      </c>
      <c r="Q72" s="15">
        <f t="shared" si="3"/>
        <v>3.2040000000000002</v>
      </c>
      <c r="R72" s="14"/>
    </row>
    <row r="73" spans="1:18" x14ac:dyDescent="0.25">
      <c r="A73" s="1"/>
      <c r="B73" s="17">
        <f t="shared" si="1"/>
        <v>66</v>
      </c>
      <c r="C73" s="23" t="s">
        <v>27</v>
      </c>
      <c r="D73" s="20" t="s">
        <v>97</v>
      </c>
      <c r="E73" s="20" t="s">
        <v>166</v>
      </c>
      <c r="F73" s="20" t="s">
        <v>209</v>
      </c>
      <c r="G73" s="20" t="s">
        <v>263</v>
      </c>
      <c r="H73" s="20" t="s">
        <v>290</v>
      </c>
      <c r="I73" s="20"/>
      <c r="J73" s="20" t="s">
        <v>350</v>
      </c>
      <c r="K73" s="14" t="s">
        <v>396</v>
      </c>
      <c r="L73" s="20">
        <v>1</v>
      </c>
      <c r="M73" s="14">
        <f t="shared" ref="M73:M77" si="4">L73*10</f>
        <v>10</v>
      </c>
      <c r="N73" s="20">
        <v>11</v>
      </c>
      <c r="O73" s="43" t="s">
        <v>402</v>
      </c>
      <c r="P73" s="21">
        <v>0.52639999999999998</v>
      </c>
      <c r="Q73" s="21">
        <f t="shared" si="3"/>
        <v>5.7904</v>
      </c>
      <c r="R73" s="20"/>
    </row>
    <row r="74" spans="1:18" x14ac:dyDescent="0.25">
      <c r="A74" s="1"/>
      <c r="B74" s="16">
        <f>ROW(B74) - ROW($B$7)</f>
        <v>67</v>
      </c>
      <c r="C74" s="22" t="s">
        <v>30</v>
      </c>
      <c r="D74" s="14" t="s">
        <v>98</v>
      </c>
      <c r="E74" s="14" t="s">
        <v>167</v>
      </c>
      <c r="F74" s="14" t="s">
        <v>210</v>
      </c>
      <c r="G74" s="14" t="s">
        <v>264</v>
      </c>
      <c r="H74" s="14" t="s">
        <v>295</v>
      </c>
      <c r="I74" s="14"/>
      <c r="J74" s="14" t="s">
        <v>351</v>
      </c>
      <c r="K74" s="14" t="s">
        <v>396</v>
      </c>
      <c r="L74" s="14">
        <v>1</v>
      </c>
      <c r="M74" s="14">
        <f t="shared" si="4"/>
        <v>10</v>
      </c>
      <c r="N74" s="14">
        <v>15</v>
      </c>
      <c r="O74" s="43" t="s">
        <v>402</v>
      </c>
      <c r="P74" s="15">
        <v>0.29930000000000001</v>
      </c>
      <c r="Q74" s="15">
        <f t="shared" si="3"/>
        <v>4.4895000000000005</v>
      </c>
      <c r="R74" s="14"/>
    </row>
    <row r="75" spans="1:18" x14ac:dyDescent="0.25">
      <c r="A75" s="1"/>
      <c r="B75" s="17">
        <f t="shared" si="1"/>
        <v>68</v>
      </c>
      <c r="C75" s="23" t="s">
        <v>27</v>
      </c>
      <c r="D75" s="20" t="s">
        <v>99</v>
      </c>
      <c r="E75" s="20" t="s">
        <v>168</v>
      </c>
      <c r="F75" s="20" t="s">
        <v>416</v>
      </c>
      <c r="G75" s="20" t="s">
        <v>211</v>
      </c>
      <c r="H75" s="20" t="s">
        <v>290</v>
      </c>
      <c r="I75" s="20"/>
      <c r="J75" s="20" t="s">
        <v>394</v>
      </c>
      <c r="K75" s="14" t="s">
        <v>396</v>
      </c>
      <c r="L75" s="20">
        <v>2</v>
      </c>
      <c r="M75" s="14">
        <f t="shared" si="4"/>
        <v>20</v>
      </c>
      <c r="N75" s="20">
        <v>21</v>
      </c>
      <c r="O75" s="43" t="s">
        <v>402</v>
      </c>
      <c r="P75" s="21">
        <v>0.33029999999999998</v>
      </c>
      <c r="Q75" s="21">
        <f t="shared" si="3"/>
        <v>6.9362999999999992</v>
      </c>
      <c r="R75" s="20"/>
    </row>
    <row r="76" spans="1:18" ht="94.5" x14ac:dyDescent="0.25">
      <c r="A76" s="1"/>
      <c r="B76" s="17">
        <f t="shared" si="1"/>
        <v>69</v>
      </c>
      <c r="C76" s="23" t="s">
        <v>417</v>
      </c>
      <c r="D76" s="20" t="s">
        <v>396</v>
      </c>
      <c r="E76" s="20" t="s">
        <v>422</v>
      </c>
      <c r="F76" s="20" t="s">
        <v>396</v>
      </c>
      <c r="G76" s="20" t="s">
        <v>423</v>
      </c>
      <c r="H76" s="20" t="s">
        <v>424</v>
      </c>
      <c r="I76" s="20"/>
      <c r="J76" s="20" t="s">
        <v>396</v>
      </c>
      <c r="K76" s="14" t="s">
        <v>396</v>
      </c>
      <c r="L76" s="20">
        <v>1</v>
      </c>
      <c r="M76" s="14">
        <f t="shared" si="4"/>
        <v>10</v>
      </c>
      <c r="N76" s="20">
        <v>10</v>
      </c>
      <c r="O76" s="43" t="s">
        <v>424</v>
      </c>
      <c r="P76" s="21">
        <v>127.46</v>
      </c>
      <c r="Q76" s="21">
        <f t="shared" si="3"/>
        <v>1274.5999999999999</v>
      </c>
      <c r="R76" s="51" t="s">
        <v>425</v>
      </c>
    </row>
    <row r="77" spans="1:18" ht="48.75" thickBot="1" x14ac:dyDescent="0.3">
      <c r="A77" s="1"/>
      <c r="B77" s="17">
        <f t="shared" si="1"/>
        <v>70</v>
      </c>
      <c r="C77" s="23" t="s">
        <v>417</v>
      </c>
      <c r="D77" s="20" t="s">
        <v>396</v>
      </c>
      <c r="E77" s="20" t="s">
        <v>418</v>
      </c>
      <c r="F77" s="20" t="s">
        <v>396</v>
      </c>
      <c r="G77" s="20" t="s">
        <v>419</v>
      </c>
      <c r="H77" s="20"/>
      <c r="I77" s="20"/>
      <c r="J77" s="20" t="s">
        <v>396</v>
      </c>
      <c r="K77" s="14" t="s">
        <v>396</v>
      </c>
      <c r="L77" s="20">
        <v>1</v>
      </c>
      <c r="M77" s="14">
        <f t="shared" si="4"/>
        <v>10</v>
      </c>
      <c r="N77" s="20">
        <v>10</v>
      </c>
      <c r="O77" s="43" t="s">
        <v>420</v>
      </c>
      <c r="P77" s="21">
        <v>7.01</v>
      </c>
      <c r="Q77" s="21">
        <f t="shared" si="3"/>
        <v>70.099999999999994</v>
      </c>
      <c r="R77" s="20"/>
    </row>
    <row r="78" spans="1:18" ht="19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49" t="s">
        <v>3</v>
      </c>
      <c r="O78" s="50"/>
      <c r="P78" s="50"/>
      <c r="Q78" s="18">
        <f>SUM(Q8:Q77)</f>
        <v>1971.8690499999998</v>
      </c>
      <c r="R78" s="1"/>
    </row>
    <row r="79" spans="1:18" ht="19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49" t="s">
        <v>4</v>
      </c>
      <c r="O79" s="50"/>
      <c r="P79" s="50"/>
      <c r="Q79" s="19">
        <f>Q78/10</f>
        <v>197.18690499999997</v>
      </c>
      <c r="R79" s="1"/>
    </row>
    <row r="91" spans="13:13" x14ac:dyDescent="0.25">
      <c r="M91" s="38"/>
    </row>
  </sheetData>
  <mergeCells count="3">
    <mergeCell ref="K1:R1"/>
    <mergeCell ref="N78:P78"/>
    <mergeCell ref="N79:P79"/>
  </mergeCells>
  <hyperlinks>
    <hyperlink ref="O14" r:id="rId1"/>
    <hyperlink ref="O8" r:id="rId2"/>
    <hyperlink ref="O9" r:id="rId3"/>
    <hyperlink ref="O11" r:id="rId4"/>
    <hyperlink ref="O12" r:id="rId5"/>
    <hyperlink ref="O13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6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/>
    <hyperlink ref="O38" r:id="rId30"/>
    <hyperlink ref="O39" r:id="rId31"/>
    <hyperlink ref="O40" r:id="rId32"/>
    <hyperlink ref="O41" r:id="rId33"/>
    <hyperlink ref="O42" r:id="rId34"/>
    <hyperlink ref="O43" r:id="rId35"/>
    <hyperlink ref="O45" r:id="rId36"/>
    <hyperlink ref="O46" r:id="rId37"/>
    <hyperlink ref="O47" r:id="rId38"/>
    <hyperlink ref="O48" r:id="rId39"/>
    <hyperlink ref="O49" r:id="rId40"/>
    <hyperlink ref="O50" r:id="rId41"/>
    <hyperlink ref="O51" r:id="rId42"/>
    <hyperlink ref="O52" r:id="rId43"/>
    <hyperlink ref="O53" r:id="rId44"/>
    <hyperlink ref="O56" r:id="rId45"/>
    <hyperlink ref="O57" r:id="rId46"/>
    <hyperlink ref="O58" r:id="rId47"/>
    <hyperlink ref="O60" r:id="rId48"/>
    <hyperlink ref="O61" r:id="rId49"/>
    <hyperlink ref="O62" r:id="rId50"/>
    <hyperlink ref="O64" r:id="rId51"/>
    <hyperlink ref="O65" r:id="rId52"/>
    <hyperlink ref="O66" r:id="rId53"/>
    <hyperlink ref="O67" r:id="rId54"/>
    <hyperlink ref="O68" r:id="rId55"/>
    <hyperlink ref="O69" r:id="rId56"/>
    <hyperlink ref="O70" r:id="rId57"/>
    <hyperlink ref="O72" r:id="rId58"/>
    <hyperlink ref="O73" r:id="rId59"/>
    <hyperlink ref="O74" r:id="rId60"/>
    <hyperlink ref="O75" r:id="rId61"/>
    <hyperlink ref="O10" r:id="rId62"/>
    <hyperlink ref="O54" r:id="rId63"/>
    <hyperlink ref="O55" r:id="rId64"/>
    <hyperlink ref="O59" r:id="rId65"/>
    <hyperlink ref="O77" r:id="rId66"/>
    <hyperlink ref="O63" r:id="rId67"/>
    <hyperlink ref="O71" r:id="rId68"/>
    <hyperlink ref="O76" r:id="rId69"/>
  </hyperlinks>
  <pageMargins left="0.7" right="0.7" top="0.75" bottom="0.75" header="0.3" footer="0.3"/>
  <pageSetup paperSize="9" orientation="portrait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2024-07-03T13:04:51Z</dcterms:modified>
</cp:coreProperties>
</file>