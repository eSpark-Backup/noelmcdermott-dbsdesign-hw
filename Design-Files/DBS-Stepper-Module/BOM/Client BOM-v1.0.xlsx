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noelmcdermott-dbsdesign-hw\Design-Files\DBS-Stepper-Module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3" i="1" l="1"/>
</calcChain>
</file>

<file path=xl/sharedStrings.xml><?xml version="1.0" encoding="utf-8"?>
<sst xmlns="http://schemas.openxmlformats.org/spreadsheetml/2006/main" count="499" uniqueCount="339">
  <si>
    <t>#</t>
  </si>
  <si>
    <t>Item Type</t>
  </si>
  <si>
    <t>Capacitor</t>
  </si>
  <si>
    <t>Capacitors</t>
  </si>
  <si>
    <t>(TVS/ESD)</t>
  </si>
  <si>
    <t>Diode</t>
  </si>
  <si>
    <t>C693487</t>
  </si>
  <si>
    <t>Connector</t>
  </si>
  <si>
    <t>Terminal Block</t>
  </si>
  <si>
    <t>Header</t>
  </si>
  <si>
    <t>Female Header</t>
  </si>
  <si>
    <t>JST Connector</t>
  </si>
  <si>
    <t>Screw terminal</t>
  </si>
  <si>
    <t>Relay</t>
  </si>
  <si>
    <t>Inductor</t>
  </si>
  <si>
    <t>LED</t>
  </si>
  <si>
    <t>Buzzers</t>
  </si>
  <si>
    <t>Test Point</t>
  </si>
  <si>
    <t>Mosfet</t>
  </si>
  <si>
    <t>Resistor</t>
  </si>
  <si>
    <t>Resistor Current Sense</t>
  </si>
  <si>
    <t>Switch</t>
  </si>
  <si>
    <t>Rotary Encoder</t>
  </si>
  <si>
    <t>Slide Switch</t>
  </si>
  <si>
    <t>IC</t>
  </si>
  <si>
    <t>Module</t>
  </si>
  <si>
    <t>MOSFET</t>
  </si>
  <si>
    <t>OpAmp</t>
  </si>
  <si>
    <t>Designator</t>
  </si>
  <si>
    <t>C1, C14, C16, C17, C18, C21, C22, C37, C39, C40, C41, C42, C43, C44, C45, C46, C47, C48, C49, C50</t>
  </si>
  <si>
    <t>C2, C3</t>
  </si>
  <si>
    <t>C4</t>
  </si>
  <si>
    <t>C5, C6, C7</t>
  </si>
  <si>
    <t>C8</t>
  </si>
  <si>
    <t>C9, C10, C15</t>
  </si>
  <si>
    <t>C11</t>
  </si>
  <si>
    <t>C12</t>
  </si>
  <si>
    <t>C13, C38</t>
  </si>
  <si>
    <t>C19, C20</t>
  </si>
  <si>
    <t>C23, C24</t>
  </si>
  <si>
    <t>C25</t>
  </si>
  <si>
    <t>C26, C27, C29, C30</t>
  </si>
  <si>
    <t>C28, C31, C32, C33</t>
  </si>
  <si>
    <t>C34, C35</t>
  </si>
  <si>
    <t>C36</t>
  </si>
  <si>
    <t>D1</t>
  </si>
  <si>
    <t>D2</t>
  </si>
  <si>
    <t>D3</t>
  </si>
  <si>
    <t>D4</t>
  </si>
  <si>
    <t>D5, D6</t>
  </si>
  <si>
    <t>J1</t>
  </si>
  <si>
    <t>J2</t>
  </si>
  <si>
    <t>J3</t>
  </si>
  <si>
    <t>J4</t>
  </si>
  <si>
    <t>J5</t>
  </si>
  <si>
    <t>J6</t>
  </si>
  <si>
    <t>J7, J11</t>
  </si>
  <si>
    <t>J8</t>
  </si>
  <si>
    <t>J9</t>
  </si>
  <si>
    <t>J10</t>
  </si>
  <si>
    <t>K1</t>
  </si>
  <si>
    <t>L1</t>
  </si>
  <si>
    <t>LED1, LED6</t>
  </si>
  <si>
    <t>LED2, LED4</t>
  </si>
  <si>
    <t>LED3, LED5</t>
  </si>
  <si>
    <t>LS1</t>
  </si>
  <si>
    <t>P1, P2, P3, P4</t>
  </si>
  <si>
    <t>Q1, Q2</t>
  </si>
  <si>
    <t>R1</t>
  </si>
  <si>
    <t>R2</t>
  </si>
  <si>
    <t>R3</t>
  </si>
  <si>
    <t>R4, R25, R27, R28, R29, R30, R31, R37, R40, R41, R46, R47</t>
  </si>
  <si>
    <t>R5, R6</t>
  </si>
  <si>
    <t>R7, R8, R9, R10, R13, R14, R15, R16</t>
  </si>
  <si>
    <t>R11, R12</t>
  </si>
  <si>
    <t>R17, R18, R22, R23</t>
  </si>
  <si>
    <t>R19</t>
  </si>
  <si>
    <t>R20, R21</t>
  </si>
  <si>
    <t>R24, R26</t>
  </si>
  <si>
    <t>R32, R33, R35, R36</t>
  </si>
  <si>
    <t>R34</t>
  </si>
  <si>
    <t>R38, R42, R44</t>
  </si>
  <si>
    <t>R39, R43</t>
  </si>
  <si>
    <t>R45</t>
  </si>
  <si>
    <t>SW1, SW2</t>
  </si>
  <si>
    <t>SW3</t>
  </si>
  <si>
    <t>SW4</t>
  </si>
  <si>
    <t>SW6</t>
  </si>
  <si>
    <t>U1</t>
  </si>
  <si>
    <t>U2</t>
  </si>
  <si>
    <t>U3</t>
  </si>
  <si>
    <t>U4</t>
  </si>
  <si>
    <t>U5, U6, U7, U8</t>
  </si>
  <si>
    <t>U9</t>
  </si>
  <si>
    <t>U10</t>
  </si>
  <si>
    <t>U11</t>
  </si>
  <si>
    <t>U12, U13</t>
  </si>
  <si>
    <t>Description</t>
  </si>
  <si>
    <t>CAP CER 0.1UF 50V X5R 0603</t>
  </si>
  <si>
    <t>CAP CER 10UF 50V X5R 1206</t>
  </si>
  <si>
    <t>CAP CER 390PF 50V C0G 0402</t>
  </si>
  <si>
    <t>CAP CER 47UF 25V X5R 1206</t>
  </si>
  <si>
    <t>CAP CER 0.047UF 50V X7R 0402</t>
  </si>
  <si>
    <t>CAP CER 1UF 50V X5R 0603</t>
  </si>
  <si>
    <t>CAP CER 4.7UF 16V X5R 0603</t>
  </si>
  <si>
    <t>47uF 50V 66mA@120Hz ±20% SMD,D6.3xL7.7mm Aluminum Electrolytic Capacitors - SMD ROHS</t>
  </si>
  <si>
    <t>CAP CER 22UF 10V X5R 0603</t>
  </si>
  <si>
    <t>CAP TANT 100UF 20% 25V 2917</t>
  </si>
  <si>
    <t>CAP CER 0.47 uF, 50 V, ± 10%, X7R, 0603 [1608 Metric]</t>
  </si>
  <si>
    <t>CAP CER 0.022UF 50V X7R 0603</t>
  </si>
  <si>
    <t>CAP CER 0.22 uF, 50 V, ± 10%, X7R, 0603 [1608 Metric]</t>
  </si>
  <si>
    <t>CAP CER 1nF 100V X7R 0603</t>
  </si>
  <si>
    <t>CAP CER 2.2UF 25V X5R 0603</t>
  </si>
  <si>
    <t>CAP CER 0.47UF 50V X5R 0603</t>
  </si>
  <si>
    <t>DIODE SCHOTTKY 60V 5A SMA</t>
  </si>
  <si>
    <t>20.1A 19.9V 13.3V 12V SMA(DO-214AC) Electrostatic and Surge Protection (TVS/ESD) ROHS</t>
  </si>
  <si>
    <t>DIODE SCHOTTKY 40V 5A SMC</t>
  </si>
  <si>
    <t>TVS DIODE 5VWM 9.2VC SMA</t>
  </si>
  <si>
    <t>DIODE GEN PURP 100V 300MA SOD123</t>
  </si>
  <si>
    <t>1x6P SH 1 1mm 6 SMD,P=1mm Wire To Board / Wire To Wire Connector ROHS</t>
  </si>
  <si>
    <t>1x3P 18A -40℃~+105℃ 250V Black 12~30 Straight pin 5.08mm 2.5 1 3 Plugin,P=5.08mm Screw terminal ROHS</t>
  </si>
  <si>
    <t>Gold Right-Angle 4P 2.54mm Plugin 1x4P Push-Pull,P=2.54mm Pin Headers ROHS</t>
  </si>
  <si>
    <t>2.54mm 2.54mm 双排 3A Copper Alloy 6P -40℃~+105℃ 260℃@5S Right-Angle 2x3P side 8.5mm Square Holes Push-Pull,P=2.54mm Female Headers ROHS</t>
  </si>
  <si>
    <t>CONN HEADER VERT 3POS 2.5MM</t>
  </si>
  <si>
    <t>1x2P 18A -40℃~+105℃ 250V Green 12~30 Straight 5.08mm 2.5 1 2 Plugin,P=5.08mm Screw terminal ROHS</t>
  </si>
  <si>
    <t>1x2P 18A -40℃~+105℃ 250V Orange 12~30 Straight 5.08mm 2.5 1 2 Plugin,P=5.08mm Screw terminal ROHS</t>
  </si>
  <si>
    <t>1x4P 20A -40℃~+105℃ 300V Green 12~30 Straight 5.08mm 2.5 1 4 Plugin,P=5.08mm Screw terminal ROHS</t>
  </si>
  <si>
    <t>1x2P 20A -40℃~+105℃ 300V Gray 12~30 Straight 5.08mm 1~2.5 1 2 Plugin,P=5.08mm Screw terminal ROHS</t>
  </si>
  <si>
    <t>2.54mm Plugin 3A Copper Alloy 3P -40℃~+105℃ 260℃@5S Right-Angle 1x3P side 8.5mm Square Holes Push-Pull,P=2.54mm Female Headers ROHS</t>
  </si>
  <si>
    <t>12V SPDT (1 Form C) Plugin,15.2x19mm Power Relays ROHS</t>
  </si>
  <si>
    <t>5.5A 5.6uH Molding Choke ±20% 6.5A SMD,6.6x7mm Power Inductors ROHS</t>
  </si>
  <si>
    <t>620nm~630nm -30℃~+85℃ Red 30° 200mW Plugin,D=3mm Light Emitting Diodes (LED) ROHS</t>
  </si>
  <si>
    <t>515nm~525nm -30℃~+85℃ Emerald 30° 200mW Plugin,D=3mm Light Emitting Diodes (LED) ROHS</t>
  </si>
  <si>
    <t>20mA -40℃~+80℃ 605nm Amber Color 50° 3mm圆形灯头 75mW Plugin,D=3mm Light Emitting Diodes (LED) ROHS</t>
  </si>
  <si>
    <t>80dB Active (driven circuit included) Magnetic 2.7kHz Plugin,D=9mm Buzzers ROHS</t>
  </si>
  <si>
    <t>Test Point ON</t>
  </si>
  <si>
    <t>TRANS NPN 40V 0.6A SMD SOT23-3</t>
  </si>
  <si>
    <t>RES SMD 68K OHM 0.1% 1/10W 0603</t>
  </si>
  <si>
    <t>RES 12K OHM 1% 1/10W 0603</t>
  </si>
  <si>
    <t>RES SMD 45.3KOHM 0.1% 1/16W 0402</t>
  </si>
  <si>
    <t>RES SMD 10K Ohm 1% 1/10W 0603</t>
  </si>
  <si>
    <t>RES 4.7K OHM 1% 1/16W 0402</t>
  </si>
  <si>
    <t>RES 22 OHM 1% 1/10W 0603</t>
  </si>
  <si>
    <t>RES 47K OHM 1% 1/20W 0201</t>
  </si>
  <si>
    <t>RES SMD 47OHM 0.1W 0603</t>
  </si>
  <si>
    <t>RES 2.2 OHM 1% 1/16W 0402</t>
  </si>
  <si>
    <t>RES 0.075 OHM 1% 1W 1206</t>
  </si>
  <si>
    <t>RES 470 OHM 1% 1/10W 0603</t>
  </si>
  <si>
    <t>RES SMD 100K OHM 0.1% 1/10W 0603</t>
  </si>
  <si>
    <t>RES SMD 120 OHM 0.1% 1/10W 0603</t>
  </si>
  <si>
    <t>RES 130 OHM 1% 1/10W 0603</t>
  </si>
  <si>
    <t>RES 15 OHM 1% 1/10W 0603</t>
  </si>
  <si>
    <t>RES SMD 1.2K OHM 1% 1/10W 0603</t>
  </si>
  <si>
    <t>No NO 50mA 4.5mm 100000 260gf 12V -30℃~+85℃ 4.5mm 4.3mm Black Round Button Brick nogging SPST SMD Tactile Switches ROHS</t>
  </si>
  <si>
    <t>ROTARY ENCODER OPTICAL 25PPR</t>
  </si>
  <si>
    <t>Shrouded 5A SPDT 125V 6.3mm 13.5mm 125V 6.6mm 5A PCPin 10000 Rectangular columnar -40℃~+85℃ Black Plugin Slide Switches ROHS</t>
  </si>
  <si>
    <t>10mm 23.2mm Round Button 50mA Straight 10mm SPST 12V Plugin Tactile Switches ROHS</t>
  </si>
  <si>
    <t>IC REG BUCK ADJUSTABLE 3A 8SOPWR</t>
  </si>
  <si>
    <t>IC REG LINEAR 3.3V 1.2A SOT223</t>
  </si>
  <si>
    <t>SMD,18x25.5mm WiFi Modules ROHS</t>
  </si>
  <si>
    <t>IC MTR DRV BIPOLAR 10-50V 48TQFP</t>
  </si>
  <si>
    <t>MOSFET 2N-CH 60V 9.5A 8SOIC</t>
  </si>
  <si>
    <t>IC TRANSLTR BIDIRECTIONAL 8VSSOP</t>
  </si>
  <si>
    <t>IC TRANSLATOR UNIDIR 14TSSOP</t>
  </si>
  <si>
    <t>SOT-23-5 Precision OpAmps ROHS</t>
  </si>
  <si>
    <t>IC TRNSLTR BIDIRECTIONAL US8</t>
  </si>
  <si>
    <t>Footprint</t>
  </si>
  <si>
    <t>Cap-0603</t>
  </si>
  <si>
    <t>Cap-1206</t>
  </si>
  <si>
    <t>Cap-0402</t>
  </si>
  <si>
    <t>RVT1H470M0607</t>
  </si>
  <si>
    <t>Case-E</t>
  </si>
  <si>
    <t>CAP-0603</t>
  </si>
  <si>
    <t>SMA</t>
  </si>
  <si>
    <t>SMA Bi Directional</t>
  </si>
  <si>
    <t>SMC</t>
  </si>
  <si>
    <t>SOD-123</t>
  </si>
  <si>
    <t>DB128L-5.08-3P-BK-S</t>
  </si>
  <si>
    <t>PZ2.54-1*4-WZ</t>
  </si>
  <si>
    <t>HDR 2x3 right angle Female (2.54mm)</t>
  </si>
  <si>
    <t>DB128L-5.08-2P-GN-S</t>
  </si>
  <si>
    <t>DB128L-5.08-2P-OG-S</t>
  </si>
  <si>
    <t>DB128V-5.08-4P-GN-S</t>
  </si>
  <si>
    <t>DB128L-5.08-2P-GY-S</t>
  </si>
  <si>
    <t>HDR 1x3 Female Right angle (2.54mm)</t>
  </si>
  <si>
    <t>HF3FA/012-ZSTF(136)(257)</t>
  </si>
  <si>
    <t>FXL0630-5R6-M</t>
  </si>
  <si>
    <t>TH LED Red 3MM</t>
  </si>
  <si>
    <t>TH LED 3mm_</t>
  </si>
  <si>
    <t>FMB09A12-12V</t>
  </si>
  <si>
    <t>SOT-23</t>
  </si>
  <si>
    <t>Res-0603</t>
  </si>
  <si>
    <t>Res-0402</t>
  </si>
  <si>
    <t>Res-0201</t>
  </si>
  <si>
    <t>Res-1206</t>
  </si>
  <si>
    <t>TS-1109S-C-B</t>
  </si>
  <si>
    <t>REC16B25-201-C</t>
  </si>
  <si>
    <t>SKQBAQA010</t>
  </si>
  <si>
    <t>8-SO-EP_</t>
  </si>
  <si>
    <t>SOT- 223</t>
  </si>
  <si>
    <t>41-SMD Module</t>
  </si>
  <si>
    <t>48-TQFP-EP(7x7)</t>
  </si>
  <si>
    <t>SOIC-8</t>
  </si>
  <si>
    <t>VSSOP-8(3.1x2.1)</t>
  </si>
  <si>
    <t>14-TSSOP</t>
  </si>
  <si>
    <t>SOT-23-5</t>
  </si>
  <si>
    <t>TXB0102DCUT</t>
  </si>
  <si>
    <t>Manufacturer Part Number</t>
  </si>
  <si>
    <t>CC0603KRX5R9BB104</t>
  </si>
  <si>
    <t>CC1206KKX5R9BB106</t>
  </si>
  <si>
    <t>CGA2B2C0G1H391J050BA</t>
  </si>
  <si>
    <t>GRM31CR61E476ME44L</t>
  </si>
  <si>
    <t>CC0402KRX7R9BB473</t>
  </si>
  <si>
    <t>CL10A105KB8NNNC</t>
  </si>
  <si>
    <t>CC0603KRX5R7BB475</t>
  </si>
  <si>
    <t>CC0603MRX5R6BB226</t>
  </si>
  <si>
    <t>TAJE107M025RNJ</t>
  </si>
  <si>
    <t>CC0603KRX7R9BB474</t>
  </si>
  <si>
    <t>CC0603KRX7R9BB223</t>
  </si>
  <si>
    <t>CC0603KRX7R9BB224</t>
  </si>
  <si>
    <t>CL10B102KC8NNNC</t>
  </si>
  <si>
    <t>CC0603KRX5R8BB225</t>
  </si>
  <si>
    <t>CC0603KRX5R9BB474</t>
  </si>
  <si>
    <t>SS56</t>
  </si>
  <si>
    <t>SMAJ12CA</t>
  </si>
  <si>
    <t>B540C-13-F</t>
  </si>
  <si>
    <t>SMAJ5.0CA</t>
  </si>
  <si>
    <t>1N4148W-7-F</t>
  </si>
  <si>
    <t>C145963</t>
  </si>
  <si>
    <t>PM254-2-03-W-8.5</t>
  </si>
  <si>
    <t>B3B-XH-A(LF)(SN)</t>
  </si>
  <si>
    <t>PM254-1-03-W-8.5</t>
  </si>
  <si>
    <t>NFD3401URD</t>
  </si>
  <si>
    <t>NFD3401UGD</t>
  </si>
  <si>
    <t>LTL17KFL5D-012A</t>
  </si>
  <si>
    <t>MMBT2222A-7-F</t>
  </si>
  <si>
    <t>RT0603BRD0768KL</t>
  </si>
  <si>
    <t>RC0603FR-0712KL</t>
  </si>
  <si>
    <t>RT0402BRD0745K3L</t>
  </si>
  <si>
    <t>RC0603FR-0710KL</t>
  </si>
  <si>
    <t>RC0402FR-074K7L</t>
  </si>
  <si>
    <t>RC0603FR-0722RL</t>
  </si>
  <si>
    <t>RC0201FR-0747KL</t>
  </si>
  <si>
    <t>RC0603FR-0747RL</t>
  </si>
  <si>
    <t>RC0402FR-072R2L</t>
  </si>
  <si>
    <t>ERJ-8BWFR075V</t>
  </si>
  <si>
    <t>RC0603FR-07470RL</t>
  </si>
  <si>
    <t>RT0603BRD07100KL</t>
  </si>
  <si>
    <t>RT0603BRB07120RL</t>
  </si>
  <si>
    <t>RC0603FR-07130RL</t>
  </si>
  <si>
    <t>RC0603FR-0715RL</t>
  </si>
  <si>
    <t>RC0603FR-071K2L</t>
  </si>
  <si>
    <t>SS-12D11G5R</t>
  </si>
  <si>
    <t>LMR16030SDDAR</t>
  </si>
  <si>
    <t>LDL1117S33R</t>
  </si>
  <si>
    <t>ESP32-S3-WROOM-1-N8R2</t>
  </si>
  <si>
    <t>TMC2160A-TA-T</t>
  </si>
  <si>
    <t>AOSD62666E</t>
  </si>
  <si>
    <t>TXS0102DCUR</t>
  </si>
  <si>
    <t>TXU0304PWR</t>
  </si>
  <si>
    <t>TP5591-TR</t>
  </si>
  <si>
    <t>Manufacturer</t>
  </si>
  <si>
    <t>Yageo</t>
  </si>
  <si>
    <t>TDK</t>
  </si>
  <si>
    <t>Murata</t>
  </si>
  <si>
    <t>Samsung</t>
  </si>
  <si>
    <t>ROQANG</t>
  </si>
  <si>
    <t>Kyocera AVX</t>
  </si>
  <si>
    <t>MDD</t>
  </si>
  <si>
    <t>Diodes</t>
  </si>
  <si>
    <t>FTR</t>
  </si>
  <si>
    <t>BOOMELE</t>
  </si>
  <si>
    <t>DIBO</t>
  </si>
  <si>
    <t>ZHOURI</t>
  </si>
  <si>
    <t>HCTL</t>
  </si>
  <si>
    <t>JST</t>
  </si>
  <si>
    <t>DORABO</t>
  </si>
  <si>
    <t>Hongfa</t>
  </si>
  <si>
    <t>cjiang</t>
  </si>
  <si>
    <t>Foshan NationStar Optoelectronics</t>
  </si>
  <si>
    <t>Lite-On</t>
  </si>
  <si>
    <t>FUET</t>
  </si>
  <si>
    <t>Panasonic</t>
  </si>
  <si>
    <t>XKB Connectivity</t>
  </si>
  <si>
    <t>Nidec Copal</t>
  </si>
  <si>
    <t>Alps Electric</t>
  </si>
  <si>
    <t>Texas Instruments</t>
  </si>
  <si>
    <t>STMicroelectronics</t>
  </si>
  <si>
    <t>Espressif Systems</t>
  </si>
  <si>
    <t>Trinamic</t>
  </si>
  <si>
    <t>Alpha &amp; Omega Semiconductor</t>
  </si>
  <si>
    <t>3PEAK</t>
  </si>
  <si>
    <t>100nF</t>
  </si>
  <si>
    <t>10uF</t>
  </si>
  <si>
    <t>390pF</t>
  </si>
  <si>
    <t>47uF</t>
  </si>
  <si>
    <t>47nF</t>
  </si>
  <si>
    <t>1uF</t>
  </si>
  <si>
    <t>4.7uF</t>
  </si>
  <si>
    <t>22uF</t>
  </si>
  <si>
    <t>100uF</t>
  </si>
  <si>
    <t>470nF</t>
  </si>
  <si>
    <t>22nF</t>
  </si>
  <si>
    <t>220nF</t>
  </si>
  <si>
    <t>1nF</t>
  </si>
  <si>
    <t>2.2uF</t>
  </si>
  <si>
    <t>0.47uF</t>
  </si>
  <si>
    <t>5.6uH</t>
  </si>
  <si>
    <t>68K</t>
  </si>
  <si>
    <t>12K</t>
  </si>
  <si>
    <t>45.3k</t>
  </si>
  <si>
    <t>10K</t>
  </si>
  <si>
    <t>4.7K</t>
  </si>
  <si>
    <t>22R</t>
  </si>
  <si>
    <t>47K</t>
  </si>
  <si>
    <t>47R</t>
  </si>
  <si>
    <t>2.2R</t>
  </si>
  <si>
    <t>75mR</t>
  </si>
  <si>
    <t>470R</t>
  </si>
  <si>
    <t>100K</t>
  </si>
  <si>
    <t>120R</t>
  </si>
  <si>
    <t>130R</t>
  </si>
  <si>
    <t>15R</t>
  </si>
  <si>
    <t>1.2K</t>
  </si>
  <si>
    <t>Quantity</t>
  </si>
  <si>
    <t>Value</t>
  </si>
  <si>
    <t>Remarks</t>
  </si>
  <si>
    <t>-</t>
  </si>
  <si>
    <t>Custom</t>
  </si>
  <si>
    <t>Peripheral</t>
  </si>
  <si>
    <t>Controlduino 01M21V00. Wideband lambda sensor control module for Arduino + rpm.</t>
  </si>
  <si>
    <t>01M21V00</t>
  </si>
  <si>
    <t>Controlduino</t>
  </si>
  <si>
    <t>204 20X4 2004 Parallel IIC I2C PCF8574T Character LCD Module Display Screen LCM English-Japanese w/ LED Backlight for Arduino</t>
  </si>
  <si>
    <t>SLC2004A1-FPW-IIC</t>
  </si>
  <si>
    <t xml:space="preserve">Also Select optional parts  1# OEM : 0258017025.    2# AC/DC Power supply   </t>
  </si>
  <si>
    <t>Client Ordered Quantity</t>
  </si>
  <si>
    <t xml:space="preserve">Link </t>
  </si>
  <si>
    <t>Aliexpress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</si>
</sst>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0" fillId="0" borderId="9" xfId="0" applyBorder="1"/>
    <xf numFmtId="0" fontId="4" fillId="2" borderId="1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7" fillId="0" borderId="12" xfId="1" applyBorder="1" applyAlignment="1">
      <alignment horizontal="center" vertical="center"/>
    </xf>
    <xf numFmtId="0" fontId="7" fillId="0" borderId="11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vi.aliexpress.com/item/1005005720465455.html?gatewayAdapt=glo2vnm" TargetMode="External"/><Relationship Id="rId1" Type="http://schemas.openxmlformats.org/officeDocument/2006/relationships/hyperlink" Target="https://controlduino.com/store/Controlduino-01M21V00-Wideband-lambda-sensor-control-module-for-Arduino-rpm-p4698753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72"/>
  <sheetViews>
    <sheetView tabSelected="1" workbookViewId="0">
      <selection activeCell="O17" sqref="O17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3.140625" bestFit="1" customWidth="1"/>
    <col min="7" max="7" width="25.285156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22.7109375" bestFit="1" customWidth="1"/>
    <col min="12" max="12" width="12.7109375" bestFit="1" customWidth="1"/>
    <col min="13" max="13" width="20.5703125" customWidth="1"/>
  </cols>
  <sheetData>
    <row r="1" spans="1:13" ht="15.75" thickBot="1" x14ac:dyDescent="0.3">
      <c r="A1" s="1"/>
      <c r="B1" s="3"/>
      <c r="C1" s="3"/>
      <c r="D1" s="2"/>
      <c r="E1" s="2"/>
      <c r="F1" s="2"/>
      <c r="G1" s="2"/>
      <c r="H1" s="2"/>
      <c r="I1" s="19"/>
      <c r="J1" s="19"/>
      <c r="K1" s="19"/>
      <c r="L1" s="19"/>
      <c r="M1" s="19"/>
    </row>
    <row r="2" spans="1:13" ht="15.75" thickBot="1" x14ac:dyDescent="0.3">
      <c r="A2" s="1"/>
      <c r="B2" s="5" t="s">
        <v>0</v>
      </c>
      <c r="C2" s="5" t="s">
        <v>1</v>
      </c>
      <c r="D2" s="5" t="s">
        <v>28</v>
      </c>
      <c r="E2" s="6" t="s">
        <v>97</v>
      </c>
      <c r="F2" s="5" t="s">
        <v>166</v>
      </c>
      <c r="G2" s="6" t="s">
        <v>207</v>
      </c>
      <c r="H2" s="5" t="s">
        <v>261</v>
      </c>
      <c r="I2" s="5" t="s">
        <v>325</v>
      </c>
      <c r="J2" s="5" t="s">
        <v>324</v>
      </c>
      <c r="K2" s="5" t="s">
        <v>336</v>
      </c>
      <c r="L2" s="5" t="s">
        <v>337</v>
      </c>
      <c r="M2" s="5" t="s">
        <v>326</v>
      </c>
    </row>
    <row r="3" spans="1:13" ht="24.75" thickBot="1" x14ac:dyDescent="0.3">
      <c r="A3" s="1"/>
      <c r="B3" s="11">
        <f>ROW(B3) - ROW($B$2)</f>
        <v>1</v>
      </c>
      <c r="C3" s="12" t="s">
        <v>2</v>
      </c>
      <c r="D3" s="7" t="s">
        <v>29</v>
      </c>
      <c r="E3" s="8" t="s">
        <v>98</v>
      </c>
      <c r="F3" s="7" t="s">
        <v>167</v>
      </c>
      <c r="G3" s="8" t="s">
        <v>208</v>
      </c>
      <c r="H3" s="7" t="s">
        <v>262</v>
      </c>
      <c r="I3" s="8" t="s">
        <v>292</v>
      </c>
      <c r="J3" s="7">
        <v>20</v>
      </c>
      <c r="K3" s="7">
        <v>22</v>
      </c>
      <c r="L3" s="7"/>
      <c r="M3" s="7"/>
    </row>
    <row r="4" spans="1:13" ht="15.75" thickBot="1" x14ac:dyDescent="0.3">
      <c r="A4" s="1"/>
      <c r="B4" s="11">
        <f t="shared" ref="B4:B67" si="0">ROW(B4) - ROW($B$2)</f>
        <v>2</v>
      </c>
      <c r="C4" s="13" t="s">
        <v>3</v>
      </c>
      <c r="D4" s="9" t="s">
        <v>30</v>
      </c>
      <c r="E4" s="10" t="s">
        <v>99</v>
      </c>
      <c r="F4" s="9" t="s">
        <v>168</v>
      </c>
      <c r="G4" s="10" t="s">
        <v>209</v>
      </c>
      <c r="H4" s="9" t="s">
        <v>262</v>
      </c>
      <c r="I4" s="10" t="s">
        <v>293</v>
      </c>
      <c r="J4" s="9">
        <v>2</v>
      </c>
      <c r="K4" s="9">
        <v>4</v>
      </c>
      <c r="L4" s="9"/>
      <c r="M4" s="9"/>
    </row>
    <row r="5" spans="1:13" ht="15.75" thickBot="1" x14ac:dyDescent="0.3">
      <c r="A5" s="1"/>
      <c r="B5" s="11">
        <f t="shared" si="0"/>
        <v>3</v>
      </c>
      <c r="C5" s="12" t="s">
        <v>3</v>
      </c>
      <c r="D5" s="7" t="s">
        <v>31</v>
      </c>
      <c r="E5" s="8" t="s">
        <v>100</v>
      </c>
      <c r="F5" s="7" t="s">
        <v>169</v>
      </c>
      <c r="G5" s="8" t="s">
        <v>210</v>
      </c>
      <c r="H5" s="7" t="s">
        <v>263</v>
      </c>
      <c r="I5" s="8" t="s">
        <v>294</v>
      </c>
      <c r="J5" s="7">
        <v>1</v>
      </c>
      <c r="K5" s="7">
        <v>3</v>
      </c>
      <c r="L5" s="7"/>
      <c r="M5" s="7"/>
    </row>
    <row r="6" spans="1:13" ht="15.75" thickBot="1" x14ac:dyDescent="0.3">
      <c r="A6" s="1"/>
      <c r="B6" s="11">
        <f t="shared" si="0"/>
        <v>4</v>
      </c>
      <c r="C6" s="13" t="s">
        <v>2</v>
      </c>
      <c r="D6" s="9" t="s">
        <v>32</v>
      </c>
      <c r="E6" s="10" t="s">
        <v>101</v>
      </c>
      <c r="F6" s="9" t="s">
        <v>168</v>
      </c>
      <c r="G6" s="10" t="s">
        <v>211</v>
      </c>
      <c r="H6" s="9" t="s">
        <v>264</v>
      </c>
      <c r="I6" s="10" t="s">
        <v>295</v>
      </c>
      <c r="J6" s="9">
        <v>3</v>
      </c>
      <c r="K6" s="9">
        <v>5</v>
      </c>
      <c r="L6" s="9"/>
      <c r="M6" s="9"/>
    </row>
    <row r="7" spans="1:13" ht="15.75" thickBot="1" x14ac:dyDescent="0.3">
      <c r="A7" s="1"/>
      <c r="B7" s="11">
        <f t="shared" si="0"/>
        <v>5</v>
      </c>
      <c r="C7" s="12" t="s">
        <v>2</v>
      </c>
      <c r="D7" s="7" t="s">
        <v>33</v>
      </c>
      <c r="E7" s="8" t="s">
        <v>102</v>
      </c>
      <c r="F7" s="7" t="s">
        <v>169</v>
      </c>
      <c r="G7" s="8" t="s">
        <v>212</v>
      </c>
      <c r="H7" s="7" t="s">
        <v>262</v>
      </c>
      <c r="I7" s="8" t="s">
        <v>296</v>
      </c>
      <c r="J7" s="7">
        <v>1</v>
      </c>
      <c r="K7" s="7">
        <v>3</v>
      </c>
      <c r="L7" s="7"/>
      <c r="M7" s="7"/>
    </row>
    <row r="8" spans="1:13" ht="15.75" thickBot="1" x14ac:dyDescent="0.3">
      <c r="A8" s="1"/>
      <c r="B8" s="11">
        <f t="shared" si="0"/>
        <v>6</v>
      </c>
      <c r="C8" s="13" t="s">
        <v>2</v>
      </c>
      <c r="D8" s="9" t="s">
        <v>34</v>
      </c>
      <c r="E8" s="10" t="s">
        <v>103</v>
      </c>
      <c r="F8" s="9" t="s">
        <v>167</v>
      </c>
      <c r="G8" s="10" t="s">
        <v>213</v>
      </c>
      <c r="H8" s="9" t="s">
        <v>265</v>
      </c>
      <c r="I8" s="10" t="s">
        <v>297</v>
      </c>
      <c r="J8" s="9">
        <v>3</v>
      </c>
      <c r="K8" s="9">
        <v>5</v>
      </c>
      <c r="L8" s="9"/>
      <c r="M8" s="9"/>
    </row>
    <row r="9" spans="1:13" ht="15.75" thickBot="1" x14ac:dyDescent="0.3">
      <c r="A9" s="1"/>
      <c r="B9" s="11">
        <f t="shared" si="0"/>
        <v>7</v>
      </c>
      <c r="C9" s="12" t="s">
        <v>2</v>
      </c>
      <c r="D9" s="7" t="s">
        <v>35</v>
      </c>
      <c r="E9" s="8" t="s">
        <v>104</v>
      </c>
      <c r="F9" s="7" t="s">
        <v>167</v>
      </c>
      <c r="G9" s="8" t="s">
        <v>214</v>
      </c>
      <c r="H9" s="7" t="s">
        <v>262</v>
      </c>
      <c r="I9" s="8" t="s">
        <v>298</v>
      </c>
      <c r="J9" s="7">
        <v>1</v>
      </c>
      <c r="K9" s="7">
        <v>3</v>
      </c>
      <c r="L9" s="7"/>
      <c r="M9" s="7"/>
    </row>
    <row r="10" spans="1:13" ht="36.75" thickBot="1" x14ac:dyDescent="0.3">
      <c r="A10" s="1"/>
      <c r="B10" s="11">
        <f t="shared" si="0"/>
        <v>8</v>
      </c>
      <c r="C10" s="13" t="s">
        <v>2</v>
      </c>
      <c r="D10" s="9" t="s">
        <v>36</v>
      </c>
      <c r="E10" s="10" t="s">
        <v>105</v>
      </c>
      <c r="F10" s="9" t="s">
        <v>328</v>
      </c>
      <c r="G10" s="10" t="s">
        <v>170</v>
      </c>
      <c r="H10" s="9" t="s">
        <v>266</v>
      </c>
      <c r="I10" s="10" t="s">
        <v>295</v>
      </c>
      <c r="J10" s="9">
        <v>1</v>
      </c>
      <c r="K10" s="9">
        <v>3</v>
      </c>
      <c r="L10" s="9"/>
      <c r="M10" s="9"/>
    </row>
    <row r="11" spans="1:13" ht="15.75" thickBot="1" x14ac:dyDescent="0.3">
      <c r="A11" s="1"/>
      <c r="B11" s="11">
        <f t="shared" si="0"/>
        <v>9</v>
      </c>
      <c r="C11" s="13" t="s">
        <v>2</v>
      </c>
      <c r="D11" s="7" t="s">
        <v>37</v>
      </c>
      <c r="E11" s="8" t="s">
        <v>106</v>
      </c>
      <c r="F11" s="7" t="s">
        <v>167</v>
      </c>
      <c r="G11" s="8" t="s">
        <v>215</v>
      </c>
      <c r="H11" s="7" t="s">
        <v>262</v>
      </c>
      <c r="I11" s="8" t="s">
        <v>299</v>
      </c>
      <c r="J11" s="7">
        <v>2</v>
      </c>
      <c r="K11" s="7">
        <v>4</v>
      </c>
      <c r="L11" s="7"/>
      <c r="M11" s="7"/>
    </row>
    <row r="12" spans="1:13" ht="15.75" thickBot="1" x14ac:dyDescent="0.3">
      <c r="A12" s="1"/>
      <c r="B12" s="11">
        <f t="shared" si="0"/>
        <v>10</v>
      </c>
      <c r="C12" s="13" t="s">
        <v>2</v>
      </c>
      <c r="D12" s="9" t="s">
        <v>38</v>
      </c>
      <c r="E12" s="10" t="s">
        <v>107</v>
      </c>
      <c r="F12" s="9" t="s">
        <v>171</v>
      </c>
      <c r="G12" s="10" t="s">
        <v>216</v>
      </c>
      <c r="H12" s="9" t="s">
        <v>267</v>
      </c>
      <c r="I12" s="10" t="s">
        <v>300</v>
      </c>
      <c r="J12" s="9">
        <v>2</v>
      </c>
      <c r="K12" s="9">
        <v>4</v>
      </c>
      <c r="L12" s="9"/>
      <c r="M12" s="9"/>
    </row>
    <row r="13" spans="1:13" ht="24.75" thickBot="1" x14ac:dyDescent="0.3">
      <c r="A13" s="1"/>
      <c r="B13" s="11">
        <f t="shared" si="0"/>
        <v>11</v>
      </c>
      <c r="C13" s="12" t="s">
        <v>2</v>
      </c>
      <c r="D13" s="7" t="s">
        <v>39</v>
      </c>
      <c r="E13" s="8" t="s">
        <v>108</v>
      </c>
      <c r="F13" s="7" t="s">
        <v>167</v>
      </c>
      <c r="G13" s="8" t="s">
        <v>217</v>
      </c>
      <c r="H13" s="7" t="s">
        <v>262</v>
      </c>
      <c r="I13" s="8" t="s">
        <v>301</v>
      </c>
      <c r="J13" s="7">
        <v>2</v>
      </c>
      <c r="K13" s="7">
        <v>4</v>
      </c>
      <c r="L13" s="7"/>
      <c r="M13" s="7"/>
    </row>
    <row r="14" spans="1:13" ht="15.75" thickBot="1" x14ac:dyDescent="0.3">
      <c r="A14" s="1"/>
      <c r="B14" s="11">
        <f t="shared" si="0"/>
        <v>12</v>
      </c>
      <c r="C14" s="13" t="s">
        <v>2</v>
      </c>
      <c r="D14" s="9" t="s">
        <v>40</v>
      </c>
      <c r="E14" s="10" t="s">
        <v>109</v>
      </c>
      <c r="F14" s="9" t="s">
        <v>167</v>
      </c>
      <c r="G14" s="10" t="s">
        <v>218</v>
      </c>
      <c r="H14" s="9" t="s">
        <v>262</v>
      </c>
      <c r="I14" s="10" t="s">
        <v>302</v>
      </c>
      <c r="J14" s="9">
        <v>1</v>
      </c>
      <c r="K14" s="9">
        <v>3</v>
      </c>
      <c r="L14" s="9"/>
      <c r="M14" s="9"/>
    </row>
    <row r="15" spans="1:13" ht="24.75" thickBot="1" x14ac:dyDescent="0.3">
      <c r="A15" s="1"/>
      <c r="B15" s="11">
        <f t="shared" si="0"/>
        <v>13</v>
      </c>
      <c r="C15" s="12" t="s">
        <v>2</v>
      </c>
      <c r="D15" s="7" t="s">
        <v>41</v>
      </c>
      <c r="E15" s="8" t="s">
        <v>110</v>
      </c>
      <c r="F15" s="7" t="s">
        <v>167</v>
      </c>
      <c r="G15" s="8" t="s">
        <v>219</v>
      </c>
      <c r="H15" s="7" t="s">
        <v>262</v>
      </c>
      <c r="I15" s="8" t="s">
        <v>303</v>
      </c>
      <c r="J15" s="7">
        <v>4</v>
      </c>
      <c r="K15" s="7">
        <v>6</v>
      </c>
      <c r="L15" s="7"/>
      <c r="M15" s="7"/>
    </row>
    <row r="16" spans="1:13" ht="15.75" thickBot="1" x14ac:dyDescent="0.3">
      <c r="A16" s="1"/>
      <c r="B16" s="11">
        <f t="shared" si="0"/>
        <v>14</v>
      </c>
      <c r="C16" s="12" t="s">
        <v>2</v>
      </c>
      <c r="D16" s="9" t="s">
        <v>42</v>
      </c>
      <c r="E16" s="10" t="s">
        <v>111</v>
      </c>
      <c r="F16" s="9" t="s">
        <v>167</v>
      </c>
      <c r="G16" s="10" t="s">
        <v>220</v>
      </c>
      <c r="H16" s="9" t="s">
        <v>265</v>
      </c>
      <c r="I16" s="10" t="s">
        <v>304</v>
      </c>
      <c r="J16" s="9">
        <v>4</v>
      </c>
      <c r="K16" s="9">
        <v>6</v>
      </c>
      <c r="L16" s="9"/>
      <c r="M16" s="9"/>
    </row>
    <row r="17" spans="1:13" ht="15.75" thickBot="1" x14ac:dyDescent="0.3">
      <c r="A17" s="1"/>
      <c r="B17" s="11">
        <f t="shared" si="0"/>
        <v>15</v>
      </c>
      <c r="C17" s="12" t="s">
        <v>2</v>
      </c>
      <c r="D17" s="7" t="s">
        <v>43</v>
      </c>
      <c r="E17" s="8" t="s">
        <v>112</v>
      </c>
      <c r="F17" s="7" t="s">
        <v>172</v>
      </c>
      <c r="G17" s="8" t="s">
        <v>221</v>
      </c>
      <c r="H17" s="7" t="s">
        <v>262</v>
      </c>
      <c r="I17" s="8" t="s">
        <v>305</v>
      </c>
      <c r="J17" s="7">
        <v>2</v>
      </c>
      <c r="K17" s="7">
        <v>4</v>
      </c>
      <c r="L17" s="7"/>
      <c r="M17" s="7"/>
    </row>
    <row r="18" spans="1:13" ht="15.75" thickBot="1" x14ac:dyDescent="0.3">
      <c r="A18" s="1"/>
      <c r="B18" s="11">
        <f t="shared" si="0"/>
        <v>16</v>
      </c>
      <c r="C18" s="13" t="s">
        <v>2</v>
      </c>
      <c r="D18" s="9" t="s">
        <v>44</v>
      </c>
      <c r="E18" s="10" t="s">
        <v>113</v>
      </c>
      <c r="F18" s="9" t="s">
        <v>167</v>
      </c>
      <c r="G18" s="10" t="s">
        <v>222</v>
      </c>
      <c r="H18" s="9" t="s">
        <v>262</v>
      </c>
      <c r="I18" s="10" t="s">
        <v>306</v>
      </c>
      <c r="J18" s="9">
        <v>1</v>
      </c>
      <c r="K18" s="9">
        <v>3</v>
      </c>
      <c r="L18" s="9"/>
      <c r="M18" s="9"/>
    </row>
    <row r="19" spans="1:13" ht="15.75" thickBot="1" x14ac:dyDescent="0.3">
      <c r="A19" s="1"/>
      <c r="B19" s="11">
        <f t="shared" si="0"/>
        <v>17</v>
      </c>
      <c r="C19" s="12" t="s">
        <v>5</v>
      </c>
      <c r="D19" s="7" t="s">
        <v>45</v>
      </c>
      <c r="E19" s="8" t="s">
        <v>114</v>
      </c>
      <c r="F19" s="7" t="s">
        <v>173</v>
      </c>
      <c r="G19" s="8" t="s">
        <v>223</v>
      </c>
      <c r="H19" s="7" t="s">
        <v>268</v>
      </c>
      <c r="I19" s="8" t="s">
        <v>327</v>
      </c>
      <c r="J19" s="7">
        <v>1</v>
      </c>
      <c r="K19" s="7">
        <v>2</v>
      </c>
      <c r="L19" s="7"/>
      <c r="M19" s="7"/>
    </row>
    <row r="20" spans="1:13" ht="36.75" thickBot="1" x14ac:dyDescent="0.3">
      <c r="A20" s="1"/>
      <c r="B20" s="11">
        <f t="shared" si="0"/>
        <v>18</v>
      </c>
      <c r="C20" s="13" t="s">
        <v>4</v>
      </c>
      <c r="D20" s="9" t="s">
        <v>46</v>
      </c>
      <c r="E20" s="10" t="s">
        <v>115</v>
      </c>
      <c r="F20" s="9" t="s">
        <v>174</v>
      </c>
      <c r="G20" s="10" t="s">
        <v>224</v>
      </c>
      <c r="H20" s="9" t="s">
        <v>268</v>
      </c>
      <c r="I20" s="10" t="s">
        <v>327</v>
      </c>
      <c r="J20" s="9">
        <v>1</v>
      </c>
      <c r="K20" s="9">
        <v>2</v>
      </c>
      <c r="L20" s="9"/>
      <c r="M20" s="9"/>
    </row>
    <row r="21" spans="1:13" ht="15.75" thickBot="1" x14ac:dyDescent="0.3">
      <c r="A21" s="1"/>
      <c r="B21" s="11">
        <f t="shared" si="0"/>
        <v>19</v>
      </c>
      <c r="C21" s="12" t="s">
        <v>5</v>
      </c>
      <c r="D21" s="7" t="s">
        <v>47</v>
      </c>
      <c r="E21" s="8" t="s">
        <v>116</v>
      </c>
      <c r="F21" s="7" t="s">
        <v>175</v>
      </c>
      <c r="G21" s="8" t="s">
        <v>225</v>
      </c>
      <c r="H21" s="7" t="s">
        <v>269</v>
      </c>
      <c r="I21" s="10" t="s">
        <v>327</v>
      </c>
      <c r="J21" s="7">
        <v>1</v>
      </c>
      <c r="K21" s="7">
        <v>2</v>
      </c>
      <c r="L21" s="7"/>
      <c r="M21" s="7"/>
    </row>
    <row r="22" spans="1:13" ht="15.75" thickBot="1" x14ac:dyDescent="0.3">
      <c r="A22" s="1"/>
      <c r="B22" s="11">
        <f t="shared" si="0"/>
        <v>20</v>
      </c>
      <c r="C22" s="13" t="s">
        <v>6</v>
      </c>
      <c r="D22" s="9" t="s">
        <v>48</v>
      </c>
      <c r="E22" s="10" t="s">
        <v>117</v>
      </c>
      <c r="F22" s="9" t="s">
        <v>174</v>
      </c>
      <c r="G22" s="10" t="s">
        <v>226</v>
      </c>
      <c r="H22" s="9" t="s">
        <v>270</v>
      </c>
      <c r="I22" s="10" t="s">
        <v>327</v>
      </c>
      <c r="J22" s="9">
        <v>1</v>
      </c>
      <c r="K22" s="9">
        <v>2</v>
      </c>
      <c r="L22" s="9"/>
      <c r="M22" s="9"/>
    </row>
    <row r="23" spans="1:13" ht="15.75" thickBot="1" x14ac:dyDescent="0.3">
      <c r="A23" s="1"/>
      <c r="B23" s="11">
        <f t="shared" si="0"/>
        <v>21</v>
      </c>
      <c r="C23" s="12" t="s">
        <v>5</v>
      </c>
      <c r="D23" s="7" t="s">
        <v>49</v>
      </c>
      <c r="E23" s="8" t="s">
        <v>118</v>
      </c>
      <c r="F23" s="7" t="s">
        <v>176</v>
      </c>
      <c r="G23" s="8" t="s">
        <v>227</v>
      </c>
      <c r="H23" s="7" t="s">
        <v>269</v>
      </c>
      <c r="I23" s="10" t="s">
        <v>327</v>
      </c>
      <c r="J23" s="7">
        <v>2</v>
      </c>
      <c r="K23" s="7">
        <v>3</v>
      </c>
      <c r="L23" s="7"/>
      <c r="M23" s="7"/>
    </row>
    <row r="24" spans="1:13" ht="36.75" thickBot="1" x14ac:dyDescent="0.3">
      <c r="A24" s="1"/>
      <c r="B24" s="11">
        <f t="shared" si="0"/>
        <v>22</v>
      </c>
      <c r="C24" s="13" t="s">
        <v>7</v>
      </c>
      <c r="D24" s="9" t="s">
        <v>50</v>
      </c>
      <c r="E24" s="10" t="s">
        <v>119</v>
      </c>
      <c r="F24" s="9" t="s">
        <v>328</v>
      </c>
      <c r="G24" s="10" t="s">
        <v>228</v>
      </c>
      <c r="H24" s="9" t="s">
        <v>271</v>
      </c>
      <c r="I24" s="10" t="s">
        <v>327</v>
      </c>
      <c r="J24" s="9">
        <v>1</v>
      </c>
      <c r="K24" s="9">
        <v>1</v>
      </c>
      <c r="L24" s="9"/>
      <c r="M24" s="9"/>
    </row>
    <row r="25" spans="1:13" ht="48.75" thickBot="1" x14ac:dyDescent="0.3">
      <c r="A25" s="1"/>
      <c r="B25" s="11">
        <f t="shared" si="0"/>
        <v>23</v>
      </c>
      <c r="C25" s="12" t="s">
        <v>8</v>
      </c>
      <c r="D25" s="7" t="s">
        <v>51</v>
      </c>
      <c r="E25" s="8" t="s">
        <v>120</v>
      </c>
      <c r="F25" s="9" t="s">
        <v>328</v>
      </c>
      <c r="G25" s="8" t="s">
        <v>177</v>
      </c>
      <c r="H25" s="7" t="s">
        <v>272</v>
      </c>
      <c r="I25" s="10" t="s">
        <v>327</v>
      </c>
      <c r="J25" s="7">
        <v>1</v>
      </c>
      <c r="K25" s="7">
        <v>1</v>
      </c>
      <c r="L25" s="7"/>
      <c r="M25" s="7"/>
    </row>
    <row r="26" spans="1:13" ht="36.75" thickBot="1" x14ac:dyDescent="0.3">
      <c r="A26" s="1"/>
      <c r="B26" s="11">
        <f t="shared" si="0"/>
        <v>24</v>
      </c>
      <c r="C26" s="13" t="s">
        <v>9</v>
      </c>
      <c r="D26" s="9" t="s">
        <v>52</v>
      </c>
      <c r="E26" s="10" t="s">
        <v>121</v>
      </c>
      <c r="F26" s="9" t="s">
        <v>328</v>
      </c>
      <c r="G26" s="10" t="s">
        <v>178</v>
      </c>
      <c r="H26" s="9" t="s">
        <v>273</v>
      </c>
      <c r="I26" s="10" t="s">
        <v>327</v>
      </c>
      <c r="J26" s="9">
        <v>1</v>
      </c>
      <c r="K26" s="9">
        <v>1</v>
      </c>
      <c r="L26" s="9"/>
      <c r="M26" s="9"/>
    </row>
    <row r="27" spans="1:13" ht="60.75" thickBot="1" x14ac:dyDescent="0.3">
      <c r="A27" s="1"/>
      <c r="B27" s="11">
        <f t="shared" si="0"/>
        <v>25</v>
      </c>
      <c r="C27" s="12" t="s">
        <v>10</v>
      </c>
      <c r="D27" s="7" t="s">
        <v>53</v>
      </c>
      <c r="E27" s="8" t="s">
        <v>122</v>
      </c>
      <c r="F27" s="7" t="s">
        <v>179</v>
      </c>
      <c r="G27" s="8" t="s">
        <v>229</v>
      </c>
      <c r="H27" s="7" t="s">
        <v>274</v>
      </c>
      <c r="I27" s="10" t="s">
        <v>327</v>
      </c>
      <c r="J27" s="7">
        <v>1</v>
      </c>
      <c r="K27" s="7">
        <v>1</v>
      </c>
      <c r="L27" s="7"/>
      <c r="M27" s="7"/>
    </row>
    <row r="28" spans="1:13" ht="15.75" thickBot="1" x14ac:dyDescent="0.3">
      <c r="A28" s="1"/>
      <c r="B28" s="11">
        <f t="shared" si="0"/>
        <v>26</v>
      </c>
      <c r="C28" s="13" t="s">
        <v>11</v>
      </c>
      <c r="D28" s="9" t="s">
        <v>54</v>
      </c>
      <c r="E28" s="10" t="s">
        <v>123</v>
      </c>
      <c r="F28" s="9" t="s">
        <v>328</v>
      </c>
      <c r="G28" s="10" t="s">
        <v>230</v>
      </c>
      <c r="H28" s="9" t="s">
        <v>275</v>
      </c>
      <c r="I28" s="10" t="s">
        <v>327</v>
      </c>
      <c r="J28" s="9">
        <v>1</v>
      </c>
      <c r="K28" s="9">
        <v>1</v>
      </c>
      <c r="L28" s="9"/>
      <c r="M28" s="9"/>
    </row>
    <row r="29" spans="1:13" ht="48.75" thickBot="1" x14ac:dyDescent="0.3">
      <c r="A29" s="1"/>
      <c r="B29" s="11">
        <f t="shared" si="0"/>
        <v>27</v>
      </c>
      <c r="C29" s="12" t="s">
        <v>8</v>
      </c>
      <c r="D29" s="7" t="s">
        <v>55</v>
      </c>
      <c r="E29" s="8" t="s">
        <v>124</v>
      </c>
      <c r="F29" s="9" t="s">
        <v>328</v>
      </c>
      <c r="G29" s="8" t="s">
        <v>180</v>
      </c>
      <c r="H29" s="7" t="s">
        <v>276</v>
      </c>
      <c r="I29" s="10" t="s">
        <v>327</v>
      </c>
      <c r="J29" s="7">
        <v>1</v>
      </c>
      <c r="K29" s="7">
        <v>1</v>
      </c>
      <c r="L29" s="7"/>
      <c r="M29" s="7"/>
    </row>
    <row r="30" spans="1:13" ht="48.75" thickBot="1" x14ac:dyDescent="0.3">
      <c r="A30" s="1"/>
      <c r="B30" s="11">
        <f t="shared" si="0"/>
        <v>28</v>
      </c>
      <c r="C30" s="13" t="s">
        <v>8</v>
      </c>
      <c r="D30" s="9" t="s">
        <v>56</v>
      </c>
      <c r="E30" s="10" t="s">
        <v>125</v>
      </c>
      <c r="F30" s="9" t="s">
        <v>328</v>
      </c>
      <c r="G30" s="10" t="s">
        <v>181</v>
      </c>
      <c r="H30" s="9" t="s">
        <v>276</v>
      </c>
      <c r="I30" s="10" t="s">
        <v>327</v>
      </c>
      <c r="J30" s="9">
        <v>2</v>
      </c>
      <c r="K30" s="9">
        <v>2</v>
      </c>
      <c r="L30" s="9"/>
      <c r="M30" s="9"/>
    </row>
    <row r="31" spans="1:13" ht="48.75" thickBot="1" x14ac:dyDescent="0.3">
      <c r="A31" s="1"/>
      <c r="B31" s="11">
        <f t="shared" si="0"/>
        <v>29</v>
      </c>
      <c r="C31" s="12" t="s">
        <v>12</v>
      </c>
      <c r="D31" s="7" t="s">
        <v>57</v>
      </c>
      <c r="E31" s="8" t="s">
        <v>126</v>
      </c>
      <c r="F31" s="9" t="s">
        <v>328</v>
      </c>
      <c r="G31" s="8" t="s">
        <v>182</v>
      </c>
      <c r="H31" s="7" t="s">
        <v>276</v>
      </c>
      <c r="I31" s="10" t="s">
        <v>327</v>
      </c>
      <c r="J31" s="7">
        <v>1</v>
      </c>
      <c r="K31" s="7">
        <v>1</v>
      </c>
      <c r="L31" s="7"/>
      <c r="M31" s="7"/>
    </row>
    <row r="32" spans="1:13" ht="48.75" thickBot="1" x14ac:dyDescent="0.3">
      <c r="A32" s="1"/>
      <c r="B32" s="11">
        <f t="shared" si="0"/>
        <v>30</v>
      </c>
      <c r="C32" s="13" t="s">
        <v>8</v>
      </c>
      <c r="D32" s="9" t="s">
        <v>58</v>
      </c>
      <c r="E32" s="10" t="s">
        <v>127</v>
      </c>
      <c r="F32" s="9" t="s">
        <v>328</v>
      </c>
      <c r="G32" s="10" t="s">
        <v>183</v>
      </c>
      <c r="H32" s="9" t="s">
        <v>276</v>
      </c>
      <c r="I32" s="10" t="s">
        <v>327</v>
      </c>
      <c r="J32" s="9">
        <v>1</v>
      </c>
      <c r="K32" s="9">
        <v>1</v>
      </c>
      <c r="L32" s="9"/>
      <c r="M32" s="9"/>
    </row>
    <row r="33" spans="1:13" ht="60.75" thickBot="1" x14ac:dyDescent="0.3">
      <c r="A33" s="1"/>
      <c r="B33" s="11">
        <f t="shared" si="0"/>
        <v>31</v>
      </c>
      <c r="C33" s="12" t="s">
        <v>10</v>
      </c>
      <c r="D33" s="7" t="s">
        <v>59</v>
      </c>
      <c r="E33" s="8" t="s">
        <v>128</v>
      </c>
      <c r="F33" s="7" t="s">
        <v>184</v>
      </c>
      <c r="G33" s="8" t="s">
        <v>231</v>
      </c>
      <c r="H33" s="7" t="s">
        <v>274</v>
      </c>
      <c r="I33" s="10" t="s">
        <v>327</v>
      </c>
      <c r="J33" s="7">
        <v>1</v>
      </c>
      <c r="K33" s="7">
        <v>1</v>
      </c>
      <c r="L33" s="7"/>
      <c r="M33" s="7"/>
    </row>
    <row r="34" spans="1:13" ht="36.75" thickBot="1" x14ac:dyDescent="0.3">
      <c r="A34" s="1"/>
      <c r="B34" s="11">
        <f t="shared" si="0"/>
        <v>32</v>
      </c>
      <c r="C34" s="13" t="s">
        <v>13</v>
      </c>
      <c r="D34" s="9" t="s">
        <v>60</v>
      </c>
      <c r="E34" s="10" t="s">
        <v>129</v>
      </c>
      <c r="F34" s="9" t="s">
        <v>328</v>
      </c>
      <c r="G34" s="10" t="s">
        <v>185</v>
      </c>
      <c r="H34" s="9" t="s">
        <v>277</v>
      </c>
      <c r="I34" s="10" t="s">
        <v>327</v>
      </c>
      <c r="J34" s="9">
        <v>1</v>
      </c>
      <c r="K34" s="9">
        <v>1</v>
      </c>
      <c r="L34" s="9"/>
      <c r="M34" s="9"/>
    </row>
    <row r="35" spans="1:13" ht="24.75" thickBot="1" x14ac:dyDescent="0.3">
      <c r="A35" s="1"/>
      <c r="B35" s="11">
        <f t="shared" si="0"/>
        <v>33</v>
      </c>
      <c r="C35" s="12" t="s">
        <v>14</v>
      </c>
      <c r="D35" s="7" t="s">
        <v>61</v>
      </c>
      <c r="E35" s="8" t="s">
        <v>130</v>
      </c>
      <c r="F35" s="9" t="s">
        <v>328</v>
      </c>
      <c r="G35" s="8" t="s">
        <v>186</v>
      </c>
      <c r="H35" s="7" t="s">
        <v>278</v>
      </c>
      <c r="I35" s="8" t="s">
        <v>307</v>
      </c>
      <c r="J35" s="7">
        <v>1</v>
      </c>
      <c r="K35" s="7">
        <v>2</v>
      </c>
      <c r="L35" s="7"/>
      <c r="M35" s="7"/>
    </row>
    <row r="36" spans="1:13" ht="36.75" thickBot="1" x14ac:dyDescent="0.3">
      <c r="A36" s="1"/>
      <c r="B36" s="11">
        <f t="shared" si="0"/>
        <v>34</v>
      </c>
      <c r="C36" s="13" t="s">
        <v>15</v>
      </c>
      <c r="D36" s="9" t="s">
        <v>62</v>
      </c>
      <c r="E36" s="10" t="s">
        <v>131</v>
      </c>
      <c r="F36" s="9" t="s">
        <v>187</v>
      </c>
      <c r="G36" s="10" t="s">
        <v>232</v>
      </c>
      <c r="H36" s="9" t="s">
        <v>279</v>
      </c>
      <c r="I36" s="10" t="s">
        <v>327</v>
      </c>
      <c r="J36" s="9">
        <v>2</v>
      </c>
      <c r="K36" s="9">
        <v>3</v>
      </c>
      <c r="L36" s="9"/>
      <c r="M36" s="9"/>
    </row>
    <row r="37" spans="1:13" ht="36.75" thickBot="1" x14ac:dyDescent="0.3">
      <c r="A37" s="1"/>
      <c r="B37" s="11">
        <f t="shared" si="0"/>
        <v>35</v>
      </c>
      <c r="C37" s="12" t="s">
        <v>15</v>
      </c>
      <c r="D37" s="7" t="s">
        <v>63</v>
      </c>
      <c r="E37" s="8" t="s">
        <v>132</v>
      </c>
      <c r="F37" s="7" t="s">
        <v>188</v>
      </c>
      <c r="G37" s="8" t="s">
        <v>233</v>
      </c>
      <c r="H37" s="7" t="s">
        <v>279</v>
      </c>
      <c r="I37" s="10" t="s">
        <v>327</v>
      </c>
      <c r="J37" s="7">
        <v>2</v>
      </c>
      <c r="K37" s="7">
        <v>3</v>
      </c>
      <c r="L37" s="7"/>
      <c r="M37" s="7"/>
    </row>
    <row r="38" spans="1:13" ht="48.75" thickBot="1" x14ac:dyDescent="0.3">
      <c r="A38" s="1"/>
      <c r="B38" s="11">
        <f t="shared" si="0"/>
        <v>36</v>
      </c>
      <c r="C38" s="13" t="s">
        <v>15</v>
      </c>
      <c r="D38" s="9" t="s">
        <v>64</v>
      </c>
      <c r="E38" s="10" t="s">
        <v>133</v>
      </c>
      <c r="F38" s="9" t="s">
        <v>188</v>
      </c>
      <c r="G38" s="10" t="s">
        <v>234</v>
      </c>
      <c r="H38" s="9" t="s">
        <v>280</v>
      </c>
      <c r="I38" s="10" t="s">
        <v>327</v>
      </c>
      <c r="J38" s="9">
        <v>2</v>
      </c>
      <c r="K38" s="9">
        <v>3</v>
      </c>
      <c r="L38" s="9"/>
      <c r="M38" s="9"/>
    </row>
    <row r="39" spans="1:13" ht="36.75" thickBot="1" x14ac:dyDescent="0.3">
      <c r="A39" s="1"/>
      <c r="B39" s="11">
        <f t="shared" si="0"/>
        <v>37</v>
      </c>
      <c r="C39" s="12" t="s">
        <v>16</v>
      </c>
      <c r="D39" s="7" t="s">
        <v>65</v>
      </c>
      <c r="E39" s="8" t="s">
        <v>134</v>
      </c>
      <c r="F39" s="9" t="s">
        <v>328</v>
      </c>
      <c r="G39" s="8" t="s">
        <v>189</v>
      </c>
      <c r="H39" s="7" t="s">
        <v>281</v>
      </c>
      <c r="I39" s="10" t="s">
        <v>327</v>
      </c>
      <c r="J39" s="7">
        <v>1</v>
      </c>
      <c r="K39" s="7">
        <v>1</v>
      </c>
      <c r="L39" s="7"/>
      <c r="M39" s="7"/>
    </row>
    <row r="40" spans="1:13" ht="15.75" thickBot="1" x14ac:dyDescent="0.3">
      <c r="A40" s="1"/>
      <c r="B40" s="11">
        <f t="shared" si="0"/>
        <v>38</v>
      </c>
      <c r="C40" s="13" t="s">
        <v>17</v>
      </c>
      <c r="D40" s="9" t="s">
        <v>66</v>
      </c>
      <c r="E40" s="10" t="s">
        <v>135</v>
      </c>
      <c r="F40" s="9" t="s">
        <v>328</v>
      </c>
      <c r="G40" s="10"/>
      <c r="H40" s="9"/>
      <c r="I40" s="10" t="s">
        <v>327</v>
      </c>
      <c r="J40" s="9">
        <v>4</v>
      </c>
      <c r="K40" s="9">
        <v>0</v>
      </c>
      <c r="L40" s="9"/>
      <c r="M40" s="9"/>
    </row>
    <row r="41" spans="1:13" ht="15.75" thickBot="1" x14ac:dyDescent="0.3">
      <c r="A41" s="1"/>
      <c r="B41" s="11">
        <f t="shared" si="0"/>
        <v>39</v>
      </c>
      <c r="C41" s="12" t="s">
        <v>18</v>
      </c>
      <c r="D41" s="7" t="s">
        <v>67</v>
      </c>
      <c r="E41" s="8" t="s">
        <v>136</v>
      </c>
      <c r="F41" s="7" t="s">
        <v>190</v>
      </c>
      <c r="G41" s="8" t="s">
        <v>235</v>
      </c>
      <c r="H41" s="7" t="s">
        <v>269</v>
      </c>
      <c r="I41" s="10" t="s">
        <v>327</v>
      </c>
      <c r="J41" s="7">
        <v>2</v>
      </c>
      <c r="K41" s="7">
        <v>3</v>
      </c>
      <c r="L41" s="7"/>
      <c r="M41" s="7"/>
    </row>
    <row r="42" spans="1:13" ht="15.75" thickBot="1" x14ac:dyDescent="0.3">
      <c r="A42" s="1"/>
      <c r="B42" s="11">
        <f t="shared" si="0"/>
        <v>40</v>
      </c>
      <c r="C42" s="13"/>
      <c r="D42" s="9" t="s">
        <v>68</v>
      </c>
      <c r="E42" s="10" t="s">
        <v>137</v>
      </c>
      <c r="F42" s="9" t="s">
        <v>191</v>
      </c>
      <c r="G42" s="10" t="s">
        <v>236</v>
      </c>
      <c r="H42" s="9" t="s">
        <v>262</v>
      </c>
      <c r="I42" s="10" t="s">
        <v>308</v>
      </c>
      <c r="J42" s="9">
        <v>1</v>
      </c>
      <c r="K42" s="9">
        <v>2</v>
      </c>
      <c r="L42" s="9"/>
      <c r="M42" s="9"/>
    </row>
    <row r="43" spans="1:13" ht="15.75" thickBot="1" x14ac:dyDescent="0.3">
      <c r="A43" s="1"/>
      <c r="B43" s="11">
        <f t="shared" si="0"/>
        <v>41</v>
      </c>
      <c r="C43" s="12" t="s">
        <v>19</v>
      </c>
      <c r="D43" s="7" t="s">
        <v>69</v>
      </c>
      <c r="E43" s="8" t="s">
        <v>138</v>
      </c>
      <c r="F43" s="7" t="s">
        <v>191</v>
      </c>
      <c r="G43" s="8" t="s">
        <v>237</v>
      </c>
      <c r="H43" s="7" t="s">
        <v>262</v>
      </c>
      <c r="I43" s="8" t="s">
        <v>309</v>
      </c>
      <c r="J43" s="7">
        <v>1</v>
      </c>
      <c r="K43" s="7">
        <v>2</v>
      </c>
      <c r="L43" s="7"/>
      <c r="M43" s="7"/>
    </row>
    <row r="44" spans="1:13" ht="15.75" thickBot="1" x14ac:dyDescent="0.3">
      <c r="A44" s="1"/>
      <c r="B44" s="11">
        <f t="shared" si="0"/>
        <v>42</v>
      </c>
      <c r="C44" s="13" t="s">
        <v>19</v>
      </c>
      <c r="D44" s="9" t="s">
        <v>70</v>
      </c>
      <c r="E44" s="10" t="s">
        <v>139</v>
      </c>
      <c r="F44" s="9" t="s">
        <v>192</v>
      </c>
      <c r="G44" s="10" t="s">
        <v>238</v>
      </c>
      <c r="H44" s="9" t="s">
        <v>262</v>
      </c>
      <c r="I44" s="10" t="s">
        <v>310</v>
      </c>
      <c r="J44" s="9">
        <v>1</v>
      </c>
      <c r="K44" s="9">
        <v>2</v>
      </c>
      <c r="L44" s="9"/>
      <c r="M44" s="9"/>
    </row>
    <row r="45" spans="1:13" ht="24.75" thickBot="1" x14ac:dyDescent="0.3">
      <c r="A45" s="1"/>
      <c r="B45" s="11">
        <f t="shared" si="0"/>
        <v>43</v>
      </c>
      <c r="C45" s="12" t="s">
        <v>19</v>
      </c>
      <c r="D45" s="7" t="s">
        <v>71</v>
      </c>
      <c r="E45" s="8" t="s">
        <v>140</v>
      </c>
      <c r="F45" s="7" t="s">
        <v>191</v>
      </c>
      <c r="G45" s="8" t="s">
        <v>239</v>
      </c>
      <c r="H45" s="7" t="s">
        <v>262</v>
      </c>
      <c r="I45" s="8" t="s">
        <v>311</v>
      </c>
      <c r="J45" s="7">
        <v>12</v>
      </c>
      <c r="K45" s="7">
        <v>14</v>
      </c>
      <c r="L45" s="7"/>
      <c r="M45" s="7"/>
    </row>
    <row r="46" spans="1:13" ht="15.75" thickBot="1" x14ac:dyDescent="0.3">
      <c r="A46" s="1"/>
      <c r="B46" s="11">
        <f t="shared" si="0"/>
        <v>44</v>
      </c>
      <c r="C46" s="13" t="s">
        <v>19</v>
      </c>
      <c r="D46" s="9" t="s">
        <v>72</v>
      </c>
      <c r="E46" s="10" t="s">
        <v>141</v>
      </c>
      <c r="F46" s="9" t="s">
        <v>192</v>
      </c>
      <c r="G46" s="10" t="s">
        <v>240</v>
      </c>
      <c r="H46" s="9" t="s">
        <v>262</v>
      </c>
      <c r="I46" s="10" t="s">
        <v>312</v>
      </c>
      <c r="J46" s="9">
        <v>2</v>
      </c>
      <c r="K46" s="9">
        <v>3</v>
      </c>
      <c r="L46" s="9"/>
      <c r="M46" s="9"/>
    </row>
    <row r="47" spans="1:13" ht="15.75" thickBot="1" x14ac:dyDescent="0.3">
      <c r="A47" s="1"/>
      <c r="B47" s="11">
        <f t="shared" si="0"/>
        <v>45</v>
      </c>
      <c r="C47" s="12" t="s">
        <v>19</v>
      </c>
      <c r="D47" s="7" t="s">
        <v>73</v>
      </c>
      <c r="E47" s="8" t="s">
        <v>142</v>
      </c>
      <c r="F47" s="7" t="s">
        <v>191</v>
      </c>
      <c r="G47" s="8" t="s">
        <v>241</v>
      </c>
      <c r="H47" s="7" t="s">
        <v>262</v>
      </c>
      <c r="I47" s="8" t="s">
        <v>313</v>
      </c>
      <c r="J47" s="7">
        <v>8</v>
      </c>
      <c r="K47" s="7">
        <v>10</v>
      </c>
      <c r="L47" s="7"/>
      <c r="M47" s="7"/>
    </row>
    <row r="48" spans="1:13" ht="15.75" thickBot="1" x14ac:dyDescent="0.3">
      <c r="A48" s="1"/>
      <c r="B48" s="11">
        <f t="shared" si="0"/>
        <v>46</v>
      </c>
      <c r="C48" s="13" t="s">
        <v>19</v>
      </c>
      <c r="D48" s="9" t="s">
        <v>74</v>
      </c>
      <c r="E48" s="10" t="s">
        <v>143</v>
      </c>
      <c r="F48" s="9" t="s">
        <v>193</v>
      </c>
      <c r="G48" s="10" t="s">
        <v>242</v>
      </c>
      <c r="H48" s="9" t="s">
        <v>262</v>
      </c>
      <c r="I48" s="10" t="s">
        <v>314</v>
      </c>
      <c r="J48" s="9">
        <v>2</v>
      </c>
      <c r="K48" s="9">
        <v>3</v>
      </c>
      <c r="L48" s="9"/>
      <c r="M48" s="9"/>
    </row>
    <row r="49" spans="1:13" ht="15.75" thickBot="1" x14ac:dyDescent="0.3">
      <c r="A49" s="1"/>
      <c r="B49" s="11">
        <f t="shared" si="0"/>
        <v>47</v>
      </c>
      <c r="C49" s="13" t="s">
        <v>19</v>
      </c>
      <c r="D49" s="7" t="s">
        <v>75</v>
      </c>
      <c r="E49" s="8" t="s">
        <v>144</v>
      </c>
      <c r="F49" s="7" t="s">
        <v>191</v>
      </c>
      <c r="G49" s="8" t="s">
        <v>243</v>
      </c>
      <c r="H49" s="7" t="s">
        <v>262</v>
      </c>
      <c r="I49" s="8" t="s">
        <v>315</v>
      </c>
      <c r="J49" s="7">
        <v>4</v>
      </c>
      <c r="K49" s="7">
        <v>6</v>
      </c>
      <c r="L49" s="7"/>
      <c r="M49" s="7"/>
    </row>
    <row r="50" spans="1:13" ht="15.75" thickBot="1" x14ac:dyDescent="0.3">
      <c r="A50" s="1"/>
      <c r="B50" s="11">
        <f t="shared" si="0"/>
        <v>48</v>
      </c>
      <c r="C50" s="13" t="s">
        <v>19</v>
      </c>
      <c r="D50" s="9" t="s">
        <v>76</v>
      </c>
      <c r="E50" s="10" t="s">
        <v>145</v>
      </c>
      <c r="F50" s="9" t="s">
        <v>192</v>
      </c>
      <c r="G50" s="10" t="s">
        <v>244</v>
      </c>
      <c r="H50" s="9" t="s">
        <v>262</v>
      </c>
      <c r="I50" s="10" t="s">
        <v>316</v>
      </c>
      <c r="J50" s="9">
        <v>1</v>
      </c>
      <c r="K50" s="9">
        <v>2</v>
      </c>
      <c r="L50" s="9"/>
      <c r="M50" s="9"/>
    </row>
    <row r="51" spans="1:13" ht="26.25" thickBot="1" x14ac:dyDescent="0.3">
      <c r="A51" s="1"/>
      <c r="B51" s="11">
        <f t="shared" si="0"/>
        <v>49</v>
      </c>
      <c r="C51" s="12" t="s">
        <v>20</v>
      </c>
      <c r="D51" s="7" t="s">
        <v>77</v>
      </c>
      <c r="E51" s="8" t="s">
        <v>146</v>
      </c>
      <c r="F51" s="7" t="s">
        <v>194</v>
      </c>
      <c r="G51" s="8" t="s">
        <v>245</v>
      </c>
      <c r="H51" s="7" t="s">
        <v>282</v>
      </c>
      <c r="I51" s="8" t="s">
        <v>317</v>
      </c>
      <c r="J51" s="7">
        <v>2</v>
      </c>
      <c r="K51" s="7">
        <v>3</v>
      </c>
      <c r="L51" s="7"/>
      <c r="M51" s="7"/>
    </row>
    <row r="52" spans="1:13" ht="15.75" thickBot="1" x14ac:dyDescent="0.3">
      <c r="A52" s="1"/>
      <c r="B52" s="11">
        <f t="shared" si="0"/>
        <v>50</v>
      </c>
      <c r="C52" s="12" t="s">
        <v>19</v>
      </c>
      <c r="D52" s="9" t="s">
        <v>78</v>
      </c>
      <c r="E52" s="10" t="s">
        <v>147</v>
      </c>
      <c r="F52" s="9" t="s">
        <v>191</v>
      </c>
      <c r="G52" s="10" t="s">
        <v>246</v>
      </c>
      <c r="H52" s="9" t="s">
        <v>262</v>
      </c>
      <c r="I52" s="10" t="s">
        <v>318</v>
      </c>
      <c r="J52" s="9">
        <v>2</v>
      </c>
      <c r="K52" s="9">
        <v>3</v>
      </c>
      <c r="L52" s="9"/>
      <c r="M52" s="9"/>
    </row>
    <row r="53" spans="1:13" ht="15.75" thickBot="1" x14ac:dyDescent="0.3">
      <c r="A53" s="1"/>
      <c r="B53" s="11">
        <f t="shared" si="0"/>
        <v>51</v>
      </c>
      <c r="C53" s="12" t="s">
        <v>19</v>
      </c>
      <c r="D53" s="7" t="s">
        <v>79</v>
      </c>
      <c r="E53" s="8" t="s">
        <v>148</v>
      </c>
      <c r="F53" s="7" t="s">
        <v>191</v>
      </c>
      <c r="G53" s="8" t="s">
        <v>247</v>
      </c>
      <c r="H53" s="7" t="s">
        <v>262</v>
      </c>
      <c r="I53" s="8" t="s">
        <v>319</v>
      </c>
      <c r="J53" s="7">
        <v>4</v>
      </c>
      <c r="K53" s="7">
        <v>6</v>
      </c>
      <c r="L53" s="7"/>
      <c r="M53" s="7"/>
    </row>
    <row r="54" spans="1:13" ht="15.75" thickBot="1" x14ac:dyDescent="0.3">
      <c r="A54" s="1"/>
      <c r="B54" s="11">
        <f t="shared" si="0"/>
        <v>52</v>
      </c>
      <c r="C54" s="13" t="s">
        <v>19</v>
      </c>
      <c r="D54" s="9" t="s">
        <v>80</v>
      </c>
      <c r="E54" s="10" t="s">
        <v>149</v>
      </c>
      <c r="F54" s="9" t="s">
        <v>191</v>
      </c>
      <c r="G54" s="10" t="s">
        <v>248</v>
      </c>
      <c r="H54" s="9" t="s">
        <v>262</v>
      </c>
      <c r="I54" s="10" t="s">
        <v>320</v>
      </c>
      <c r="J54" s="9">
        <v>1</v>
      </c>
      <c r="K54" s="9">
        <v>2</v>
      </c>
      <c r="L54" s="9"/>
      <c r="M54" s="9"/>
    </row>
    <row r="55" spans="1:13" ht="15.75" thickBot="1" x14ac:dyDescent="0.3">
      <c r="A55" s="1"/>
      <c r="B55" s="11">
        <f t="shared" si="0"/>
        <v>53</v>
      </c>
      <c r="C55" s="12" t="s">
        <v>19</v>
      </c>
      <c r="D55" s="7" t="s">
        <v>81</v>
      </c>
      <c r="E55" s="8" t="s">
        <v>150</v>
      </c>
      <c r="F55" s="7" t="s">
        <v>191</v>
      </c>
      <c r="G55" s="8" t="s">
        <v>249</v>
      </c>
      <c r="H55" s="7" t="s">
        <v>262</v>
      </c>
      <c r="I55" s="8" t="s">
        <v>321</v>
      </c>
      <c r="J55" s="7">
        <v>3</v>
      </c>
      <c r="K55" s="7">
        <v>4</v>
      </c>
      <c r="L55" s="7"/>
      <c r="M55" s="7"/>
    </row>
    <row r="56" spans="1:13" ht="15.75" thickBot="1" x14ac:dyDescent="0.3">
      <c r="A56" s="1"/>
      <c r="B56" s="11">
        <f t="shared" si="0"/>
        <v>54</v>
      </c>
      <c r="C56" s="13" t="s">
        <v>19</v>
      </c>
      <c r="D56" s="9" t="s">
        <v>82</v>
      </c>
      <c r="E56" s="10" t="s">
        <v>151</v>
      </c>
      <c r="F56" s="9" t="s">
        <v>191</v>
      </c>
      <c r="G56" s="10" t="s">
        <v>250</v>
      </c>
      <c r="H56" s="9" t="s">
        <v>262</v>
      </c>
      <c r="I56" s="10" t="s">
        <v>322</v>
      </c>
      <c r="J56" s="9">
        <v>2</v>
      </c>
      <c r="K56" s="9">
        <v>3</v>
      </c>
      <c r="L56" s="9"/>
      <c r="M56" s="9"/>
    </row>
    <row r="57" spans="1:13" ht="15.75" thickBot="1" x14ac:dyDescent="0.3">
      <c r="A57" s="1"/>
      <c r="B57" s="11">
        <f t="shared" si="0"/>
        <v>55</v>
      </c>
      <c r="C57" s="12" t="s">
        <v>19</v>
      </c>
      <c r="D57" s="7" t="s">
        <v>83</v>
      </c>
      <c r="E57" s="8" t="s">
        <v>152</v>
      </c>
      <c r="F57" s="7" t="s">
        <v>191</v>
      </c>
      <c r="G57" s="8" t="s">
        <v>251</v>
      </c>
      <c r="H57" s="7" t="s">
        <v>262</v>
      </c>
      <c r="I57" s="8" t="s">
        <v>323</v>
      </c>
      <c r="J57" s="7">
        <v>1</v>
      </c>
      <c r="K57" s="7">
        <v>2</v>
      </c>
      <c r="L57" s="7"/>
      <c r="M57" s="7"/>
    </row>
    <row r="58" spans="1:13" ht="48.75" thickBot="1" x14ac:dyDescent="0.3">
      <c r="A58" s="1"/>
      <c r="B58" s="11">
        <f t="shared" si="0"/>
        <v>56</v>
      </c>
      <c r="C58" s="13" t="s">
        <v>21</v>
      </c>
      <c r="D58" s="9" t="s">
        <v>84</v>
      </c>
      <c r="E58" s="10" t="s">
        <v>153</v>
      </c>
      <c r="F58" s="9" t="s">
        <v>328</v>
      </c>
      <c r="G58" s="10" t="s">
        <v>195</v>
      </c>
      <c r="H58" s="9" t="s">
        <v>283</v>
      </c>
      <c r="I58" s="10" t="s">
        <v>327</v>
      </c>
      <c r="J58" s="9">
        <v>2</v>
      </c>
      <c r="K58" s="9">
        <v>2</v>
      </c>
      <c r="L58" s="9"/>
      <c r="M58" s="9"/>
    </row>
    <row r="59" spans="1:13" ht="15.75" thickBot="1" x14ac:dyDescent="0.3">
      <c r="A59" s="1"/>
      <c r="B59" s="11">
        <f t="shared" si="0"/>
        <v>57</v>
      </c>
      <c r="C59" s="12" t="s">
        <v>22</v>
      </c>
      <c r="D59" s="7" t="s">
        <v>85</v>
      </c>
      <c r="E59" s="8" t="s">
        <v>154</v>
      </c>
      <c r="F59" s="9" t="s">
        <v>328</v>
      </c>
      <c r="G59" s="8" t="s">
        <v>196</v>
      </c>
      <c r="H59" s="7" t="s">
        <v>284</v>
      </c>
      <c r="I59" s="10" t="s">
        <v>327</v>
      </c>
      <c r="J59" s="7">
        <v>1</v>
      </c>
      <c r="K59" s="7">
        <v>1</v>
      </c>
      <c r="L59" s="7"/>
      <c r="M59" s="7"/>
    </row>
    <row r="60" spans="1:13" ht="48.75" thickBot="1" x14ac:dyDescent="0.3">
      <c r="A60" s="1"/>
      <c r="B60" s="11">
        <f t="shared" si="0"/>
        <v>58</v>
      </c>
      <c r="C60" s="13" t="s">
        <v>23</v>
      </c>
      <c r="D60" s="9" t="s">
        <v>86</v>
      </c>
      <c r="E60" s="10" t="s">
        <v>155</v>
      </c>
      <c r="F60" s="9" t="s">
        <v>328</v>
      </c>
      <c r="G60" s="10" t="s">
        <v>252</v>
      </c>
      <c r="H60" s="9" t="s">
        <v>283</v>
      </c>
      <c r="I60" s="10" t="s">
        <v>327</v>
      </c>
      <c r="J60" s="9">
        <v>1</v>
      </c>
      <c r="K60" s="9">
        <v>1</v>
      </c>
      <c r="L60" s="9"/>
      <c r="M60" s="9"/>
    </row>
    <row r="61" spans="1:13" ht="36.75" thickBot="1" x14ac:dyDescent="0.3">
      <c r="A61" s="1"/>
      <c r="B61" s="11">
        <f t="shared" si="0"/>
        <v>59</v>
      </c>
      <c r="C61" s="12" t="s">
        <v>21</v>
      </c>
      <c r="D61" s="7" t="s">
        <v>87</v>
      </c>
      <c r="E61" s="8" t="s">
        <v>156</v>
      </c>
      <c r="F61" s="9" t="s">
        <v>328</v>
      </c>
      <c r="G61" s="8" t="s">
        <v>197</v>
      </c>
      <c r="H61" s="7" t="s">
        <v>285</v>
      </c>
      <c r="I61" s="10" t="s">
        <v>327</v>
      </c>
      <c r="J61" s="7">
        <v>1</v>
      </c>
      <c r="K61" s="7">
        <v>1</v>
      </c>
      <c r="L61" s="7"/>
      <c r="M61" s="7"/>
    </row>
    <row r="62" spans="1:13" ht="15.75" thickBot="1" x14ac:dyDescent="0.3">
      <c r="A62" s="1"/>
      <c r="B62" s="11">
        <f t="shared" si="0"/>
        <v>60</v>
      </c>
      <c r="C62" s="13" t="s">
        <v>24</v>
      </c>
      <c r="D62" s="9" t="s">
        <v>88</v>
      </c>
      <c r="E62" s="10" t="s">
        <v>157</v>
      </c>
      <c r="F62" s="9" t="s">
        <v>198</v>
      </c>
      <c r="G62" s="10" t="s">
        <v>253</v>
      </c>
      <c r="H62" s="9" t="s">
        <v>286</v>
      </c>
      <c r="I62" s="10" t="s">
        <v>327</v>
      </c>
      <c r="J62" s="9">
        <v>1</v>
      </c>
      <c r="K62" s="9">
        <v>1</v>
      </c>
      <c r="L62" s="9"/>
      <c r="M62" s="9"/>
    </row>
    <row r="63" spans="1:13" ht="15.75" thickBot="1" x14ac:dyDescent="0.3">
      <c r="A63" s="1"/>
      <c r="B63" s="11">
        <f t="shared" si="0"/>
        <v>61</v>
      </c>
      <c r="C63" s="12" t="s">
        <v>24</v>
      </c>
      <c r="D63" s="7" t="s">
        <v>89</v>
      </c>
      <c r="E63" s="8" t="s">
        <v>158</v>
      </c>
      <c r="F63" s="7" t="s">
        <v>199</v>
      </c>
      <c r="G63" s="8" t="s">
        <v>254</v>
      </c>
      <c r="H63" s="7" t="s">
        <v>287</v>
      </c>
      <c r="I63" s="10" t="s">
        <v>327</v>
      </c>
      <c r="J63" s="7">
        <v>1</v>
      </c>
      <c r="K63" s="7">
        <v>1</v>
      </c>
      <c r="L63" s="7"/>
      <c r="M63" s="7"/>
    </row>
    <row r="64" spans="1:13" ht="15.75" thickBot="1" x14ac:dyDescent="0.3">
      <c r="A64" s="1"/>
      <c r="B64" s="11">
        <f t="shared" si="0"/>
        <v>62</v>
      </c>
      <c r="C64" s="13" t="s">
        <v>25</v>
      </c>
      <c r="D64" s="9" t="s">
        <v>90</v>
      </c>
      <c r="E64" s="10" t="s">
        <v>159</v>
      </c>
      <c r="F64" s="9" t="s">
        <v>200</v>
      </c>
      <c r="G64" s="10" t="s">
        <v>255</v>
      </c>
      <c r="H64" s="9" t="s">
        <v>288</v>
      </c>
      <c r="I64" s="10" t="s">
        <v>327</v>
      </c>
      <c r="J64" s="9">
        <v>1</v>
      </c>
      <c r="K64" s="9">
        <v>1</v>
      </c>
      <c r="L64" s="9"/>
      <c r="M64" s="9"/>
    </row>
    <row r="65" spans="1:13" ht="15.75" thickBot="1" x14ac:dyDescent="0.3">
      <c r="A65" s="1"/>
      <c r="B65" s="11">
        <f t="shared" si="0"/>
        <v>63</v>
      </c>
      <c r="C65" s="12" t="s">
        <v>24</v>
      </c>
      <c r="D65" s="7" t="s">
        <v>91</v>
      </c>
      <c r="E65" s="8" t="s">
        <v>160</v>
      </c>
      <c r="F65" s="7" t="s">
        <v>201</v>
      </c>
      <c r="G65" s="8" t="s">
        <v>256</v>
      </c>
      <c r="H65" s="7" t="s">
        <v>289</v>
      </c>
      <c r="I65" s="10" t="s">
        <v>327</v>
      </c>
      <c r="J65" s="7">
        <v>1</v>
      </c>
      <c r="K65" s="7">
        <v>1</v>
      </c>
      <c r="L65" s="7"/>
      <c r="M65" s="7"/>
    </row>
    <row r="66" spans="1:13" ht="24.75" thickBot="1" x14ac:dyDescent="0.3">
      <c r="A66" s="1"/>
      <c r="B66" s="11">
        <f t="shared" si="0"/>
        <v>64</v>
      </c>
      <c r="C66" s="13" t="s">
        <v>26</v>
      </c>
      <c r="D66" s="9" t="s">
        <v>92</v>
      </c>
      <c r="E66" s="10" t="s">
        <v>161</v>
      </c>
      <c r="F66" s="9" t="s">
        <v>202</v>
      </c>
      <c r="G66" s="10" t="s">
        <v>257</v>
      </c>
      <c r="H66" s="9" t="s">
        <v>290</v>
      </c>
      <c r="I66" s="10" t="s">
        <v>327</v>
      </c>
      <c r="J66" s="9">
        <v>4</v>
      </c>
      <c r="K66" s="9">
        <v>4</v>
      </c>
      <c r="L66" s="9"/>
      <c r="M66" s="9"/>
    </row>
    <row r="67" spans="1:13" ht="15.75" thickBot="1" x14ac:dyDescent="0.3">
      <c r="A67" s="1"/>
      <c r="B67" s="11">
        <f t="shared" si="0"/>
        <v>65</v>
      </c>
      <c r="C67" s="12" t="s">
        <v>24</v>
      </c>
      <c r="D67" s="7" t="s">
        <v>93</v>
      </c>
      <c r="E67" s="8" t="s">
        <v>162</v>
      </c>
      <c r="F67" s="7" t="s">
        <v>203</v>
      </c>
      <c r="G67" s="8" t="s">
        <v>258</v>
      </c>
      <c r="H67" s="7" t="s">
        <v>286</v>
      </c>
      <c r="I67" s="10" t="s">
        <v>327</v>
      </c>
      <c r="J67" s="7">
        <v>1</v>
      </c>
      <c r="K67" s="7">
        <v>1</v>
      </c>
      <c r="L67" s="7"/>
      <c r="M67" s="7"/>
    </row>
    <row r="68" spans="1:13" ht="15.75" thickBot="1" x14ac:dyDescent="0.3">
      <c r="A68" s="1"/>
      <c r="B68" s="11">
        <f t="shared" ref="B68:B72" si="1">ROW(B68) - ROW($B$2)</f>
        <v>66</v>
      </c>
      <c r="C68" s="13" t="s">
        <v>24</v>
      </c>
      <c r="D68" s="9" t="s">
        <v>94</v>
      </c>
      <c r="E68" s="10" t="s">
        <v>163</v>
      </c>
      <c r="F68" s="9" t="s">
        <v>204</v>
      </c>
      <c r="G68" s="10" t="s">
        <v>259</v>
      </c>
      <c r="H68" s="9" t="s">
        <v>286</v>
      </c>
      <c r="I68" s="10" t="s">
        <v>327</v>
      </c>
      <c r="J68" s="9">
        <v>1</v>
      </c>
      <c r="K68" s="9">
        <v>1</v>
      </c>
      <c r="L68" s="9"/>
      <c r="M68" s="9"/>
    </row>
    <row r="69" spans="1:13" ht="15.75" thickBot="1" x14ac:dyDescent="0.3">
      <c r="A69" s="1"/>
      <c r="B69" s="11">
        <f t="shared" si="1"/>
        <v>67</v>
      </c>
      <c r="C69" s="12" t="s">
        <v>27</v>
      </c>
      <c r="D69" s="7" t="s">
        <v>95</v>
      </c>
      <c r="E69" s="8" t="s">
        <v>164</v>
      </c>
      <c r="F69" s="7" t="s">
        <v>205</v>
      </c>
      <c r="G69" s="8" t="s">
        <v>260</v>
      </c>
      <c r="H69" s="7" t="s">
        <v>291</v>
      </c>
      <c r="I69" s="10" t="s">
        <v>327</v>
      </c>
      <c r="J69" s="7">
        <v>1</v>
      </c>
      <c r="K69" s="7">
        <v>1</v>
      </c>
      <c r="L69" s="7"/>
      <c r="M69" s="7"/>
    </row>
    <row r="70" spans="1:13" ht="15.75" thickBot="1" x14ac:dyDescent="0.3">
      <c r="A70" s="1"/>
      <c r="B70" s="11">
        <f t="shared" si="1"/>
        <v>68</v>
      </c>
      <c r="C70" s="13" t="s">
        <v>24</v>
      </c>
      <c r="D70" s="9" t="s">
        <v>96</v>
      </c>
      <c r="E70" s="10" t="s">
        <v>165</v>
      </c>
      <c r="F70" s="9" t="s">
        <v>328</v>
      </c>
      <c r="G70" s="10" t="s">
        <v>206</v>
      </c>
      <c r="H70" s="9" t="s">
        <v>286</v>
      </c>
      <c r="I70" s="10" t="s">
        <v>327</v>
      </c>
      <c r="J70" s="9">
        <v>2</v>
      </c>
      <c r="K70" s="9">
        <v>2</v>
      </c>
      <c r="L70" s="9"/>
      <c r="M70" s="9"/>
    </row>
    <row r="71" spans="1:13" ht="79.5" thickBot="1" x14ac:dyDescent="0.3">
      <c r="B71" s="11">
        <f t="shared" si="1"/>
        <v>69</v>
      </c>
      <c r="C71" s="13" t="s">
        <v>329</v>
      </c>
      <c r="D71" s="9" t="s">
        <v>327</v>
      </c>
      <c r="E71" s="9" t="s">
        <v>330</v>
      </c>
      <c r="F71" s="9" t="s">
        <v>327</v>
      </c>
      <c r="G71" s="9" t="s">
        <v>331</v>
      </c>
      <c r="H71" s="9" t="s">
        <v>332</v>
      </c>
      <c r="I71" s="9"/>
      <c r="J71" s="9">
        <v>1</v>
      </c>
      <c r="K71" s="18">
        <v>1</v>
      </c>
      <c r="L71" s="20" t="s">
        <v>332</v>
      </c>
      <c r="M71" s="14" t="s">
        <v>335</v>
      </c>
    </row>
    <row r="72" spans="1:13" ht="60.75" thickBot="1" x14ac:dyDescent="0.3">
      <c r="B72" s="11">
        <f t="shared" si="1"/>
        <v>70</v>
      </c>
      <c r="C72" s="15" t="s">
        <v>329</v>
      </c>
      <c r="D72" s="16" t="s">
        <v>327</v>
      </c>
      <c r="E72" s="16" t="s">
        <v>333</v>
      </c>
      <c r="F72" s="16" t="s">
        <v>327</v>
      </c>
      <c r="G72" s="16" t="s">
        <v>334</v>
      </c>
      <c r="H72" s="16"/>
      <c r="I72" s="16"/>
      <c r="J72" s="16">
        <v>1</v>
      </c>
      <c r="K72" s="9">
        <v>1</v>
      </c>
      <c r="L72" s="21" t="s">
        <v>338</v>
      </c>
      <c r="M72" s="17"/>
    </row>
  </sheetData>
  <mergeCells count="1">
    <mergeCell ref="I1:M1"/>
  </mergeCells>
  <hyperlinks>
    <hyperlink ref="L71" r:id="rId1"/>
    <hyperlink ref="L72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2024-11-28T09:20:45Z</dcterms:modified>
</cp:coreProperties>
</file>